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ofmann\Documents\GitHub\2026_RE_Dependency_Artefacts\Datasets\elaborated_ground_truth\datasets_elaborated\others\"/>
    </mc:Choice>
  </mc:AlternateContent>
  <xr:revisionPtr revIDLastSave="0" documentId="13_ncr:1_{61FAF615-D22E-4F8C-BC6E-11F7D09E4A42}" xr6:coauthVersionLast="47" xr6:coauthVersionMax="47" xr10:uidLastSave="{00000000-0000-0000-0000-000000000000}"/>
  <bookViews>
    <workbookView xWindow="-28920" yWindow="14145" windowWidth="29040" windowHeight="17520" tabRatio="500" activeTab="4" xr2:uid="{00000000-000D-0000-FFFF-FFFF00000000}"/>
  </bookViews>
  <sheets>
    <sheet name="Info" sheetId="1" r:id="rId1"/>
    <sheet name="Original Dataset" sheetId="2" r:id="rId2"/>
    <sheet name="Normalised" sheetId="3" r:id="rId3"/>
    <sheet name="Normalised Goal" sheetId="4" r:id="rId4"/>
    <sheet name="CRUD-MAPPING" sheetId="5" r:id="rId5"/>
  </sheets>
  <definedNames>
    <definedName name="_xlnm._FilterDatabase" localSheetId="4" hidden="1">'CRUD-MAPPING'!$A$1:$H$85</definedName>
    <definedName name="_xlnm._FilterDatabase" localSheetId="2" hidden="1">Normalised!$A$1:$G$211</definedName>
    <definedName name="_xlnm._FilterDatabase" localSheetId="3" hidden="1">'Normalised Goal'!$A$1:$G$1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85" i="5" l="1" a="1"/>
  <c r="H85" i="5" s="1"/>
  <c r="D85" i="5"/>
  <c r="C85" i="5"/>
  <c r="B85" i="5"/>
  <c r="A85" i="5"/>
  <c r="H84" i="5" a="1"/>
  <c r="H84" i="5" s="1"/>
  <c r="D84" i="5"/>
  <c r="C84" i="5"/>
  <c r="B84" i="5"/>
  <c r="A84" i="5"/>
  <c r="H83" i="5" a="1"/>
  <c r="H83" i="5" s="1"/>
  <c r="D83" i="5"/>
  <c r="C83" i="5"/>
  <c r="B83" i="5"/>
  <c r="A83" i="5"/>
  <c r="H82" i="5" a="1"/>
  <c r="H82" i="5" s="1"/>
  <c r="D82" i="5"/>
  <c r="C82" i="5"/>
  <c r="B82" i="5"/>
  <c r="A82" i="5"/>
  <c r="H81" i="5" a="1"/>
  <c r="H81" i="5" s="1"/>
  <c r="D81" i="5"/>
  <c r="C81" i="5"/>
  <c r="B81" i="5"/>
  <c r="A81" i="5"/>
  <c r="H80" i="5" a="1"/>
  <c r="H80" i="5" s="1"/>
  <c r="D80" i="5"/>
  <c r="C80" i="5"/>
  <c r="B80" i="5"/>
  <c r="A80" i="5"/>
  <c r="H79" i="5" a="1"/>
  <c r="H79" i="5" s="1"/>
  <c r="D79" i="5"/>
  <c r="C79" i="5"/>
  <c r="B79" i="5"/>
  <c r="A79" i="5"/>
  <c r="H78" i="5" a="1"/>
  <c r="H78" i="5" s="1"/>
  <c r="D78" i="5"/>
  <c r="C78" i="5"/>
  <c r="B78" i="5"/>
  <c r="A78" i="5"/>
  <c r="H77" i="5" a="1"/>
  <c r="H77" i="5" s="1"/>
  <c r="D77" i="5"/>
  <c r="C77" i="5"/>
  <c r="B77" i="5"/>
  <c r="A77" i="5"/>
  <c r="H76" i="5" a="1"/>
  <c r="H76" i="5" s="1"/>
  <c r="D76" i="5"/>
  <c r="C76" i="5"/>
  <c r="B76" i="5"/>
  <c r="A76" i="5"/>
  <c r="H75" i="5" a="1"/>
  <c r="H75" i="5" s="1"/>
  <c r="D75" i="5"/>
  <c r="C75" i="5"/>
  <c r="B75" i="5"/>
  <c r="A75" i="5"/>
  <c r="H74" i="5" a="1"/>
  <c r="H74" i="5" s="1"/>
  <c r="D74" i="5"/>
  <c r="C74" i="5"/>
  <c r="B74" i="5"/>
  <c r="A74" i="5"/>
  <c r="H73" i="5" a="1"/>
  <c r="H73" i="5" s="1"/>
  <c r="D73" i="5"/>
  <c r="C73" i="5"/>
  <c r="B73" i="5"/>
  <c r="A73" i="5"/>
  <c r="H72" i="5" a="1"/>
  <c r="H72" i="5" s="1"/>
  <c r="D72" i="5"/>
  <c r="C72" i="5"/>
  <c r="B72" i="5"/>
  <c r="A72" i="5"/>
  <c r="H71" i="5" a="1"/>
  <c r="H71" i="5" s="1"/>
  <c r="D71" i="5"/>
  <c r="C71" i="5"/>
  <c r="B71" i="5"/>
  <c r="A71" i="5"/>
  <c r="H70" i="5" a="1"/>
  <c r="H70" i="5" s="1"/>
  <c r="D70" i="5"/>
  <c r="C70" i="5"/>
  <c r="B70" i="5"/>
  <c r="A70" i="5"/>
  <c r="H69" i="5" a="1"/>
  <c r="H69" i="5" s="1"/>
  <c r="D69" i="5"/>
  <c r="C69" i="5"/>
  <c r="B69" i="5"/>
  <c r="A69" i="5"/>
  <c r="H68" i="5" a="1"/>
  <c r="H68" i="5" s="1"/>
  <c r="D68" i="5"/>
  <c r="C68" i="5"/>
  <c r="B68" i="5"/>
  <c r="A68" i="5"/>
  <c r="H67" i="5" a="1"/>
  <c r="H67" i="5" s="1"/>
  <c r="D67" i="5"/>
  <c r="C67" i="5"/>
  <c r="B67" i="5"/>
  <c r="A67" i="5"/>
  <c r="H66" i="5" a="1"/>
  <c r="H66" i="5" s="1"/>
  <c r="D66" i="5"/>
  <c r="C66" i="5"/>
  <c r="B66" i="5"/>
  <c r="A66" i="5"/>
  <c r="H65" i="5" a="1"/>
  <c r="H65" i="5" s="1"/>
  <c r="D65" i="5"/>
  <c r="C65" i="5"/>
  <c r="B65" i="5"/>
  <c r="A65" i="5"/>
  <c r="H64" i="5" a="1"/>
  <c r="H64" i="5" s="1"/>
  <c r="D64" i="5"/>
  <c r="C64" i="5"/>
  <c r="B64" i="5"/>
  <c r="A64" i="5"/>
  <c r="H63" i="5" a="1"/>
  <c r="H63" i="5" s="1"/>
  <c r="D63" i="5"/>
  <c r="C63" i="5"/>
  <c r="B63" i="5"/>
  <c r="A63" i="5"/>
  <c r="H62" i="5" a="1"/>
  <c r="H62" i="5" s="1"/>
  <c r="D62" i="5"/>
  <c r="C62" i="5"/>
  <c r="B62" i="5"/>
  <c r="A62" i="5"/>
  <c r="H61" i="5" a="1"/>
  <c r="H61" i="5" s="1"/>
  <c r="D61" i="5"/>
  <c r="C61" i="5"/>
  <c r="B61" i="5"/>
  <c r="A61" i="5"/>
  <c r="H60" i="5" a="1"/>
  <c r="H60" i="5" s="1"/>
  <c r="D60" i="5"/>
  <c r="C60" i="5"/>
  <c r="B60" i="5"/>
  <c r="A60" i="5"/>
  <c r="H59" i="5" a="1"/>
  <c r="H59" i="5" s="1"/>
  <c r="D59" i="5"/>
  <c r="C59" i="5"/>
  <c r="B59" i="5"/>
  <c r="A59" i="5"/>
  <c r="H58" i="5" a="1"/>
  <c r="H58" i="5" s="1"/>
  <c r="D58" i="5"/>
  <c r="C58" i="5"/>
  <c r="B58" i="5"/>
  <c r="A58" i="5"/>
  <c r="H57" i="5" a="1"/>
  <c r="H57" i="5" s="1"/>
  <c r="D57" i="5"/>
  <c r="C57" i="5"/>
  <c r="B57" i="5"/>
  <c r="A57" i="5"/>
  <c r="H56" i="5" a="1"/>
  <c r="H56" i="5" s="1"/>
  <c r="D56" i="5"/>
  <c r="C56" i="5"/>
  <c r="B56" i="5"/>
  <c r="A56" i="5"/>
  <c r="H55" i="5" a="1"/>
  <c r="H55" i="5" s="1"/>
  <c r="D55" i="5"/>
  <c r="C55" i="5"/>
  <c r="B55" i="5"/>
  <c r="A55" i="5"/>
  <c r="H54" i="5" a="1"/>
  <c r="H54" i="5" s="1"/>
  <c r="D54" i="5"/>
  <c r="C54" i="5"/>
  <c r="B54" i="5"/>
  <c r="A54" i="5"/>
  <c r="H53" i="5" a="1"/>
  <c r="H53" i="5" s="1"/>
  <c r="D53" i="5"/>
  <c r="C53" i="5"/>
  <c r="B53" i="5"/>
  <c r="A53" i="5"/>
  <c r="H52" i="5" a="1"/>
  <c r="H52" i="5" s="1"/>
  <c r="D52" i="5"/>
  <c r="C52" i="5"/>
  <c r="B52" i="5"/>
  <c r="A52" i="5"/>
  <c r="H51" i="5" a="1"/>
  <c r="H51" i="5" s="1"/>
  <c r="D51" i="5"/>
  <c r="C51" i="5"/>
  <c r="B51" i="5"/>
  <c r="A51" i="5"/>
  <c r="H50" i="5" a="1"/>
  <c r="H50" i="5" s="1"/>
  <c r="D50" i="5"/>
  <c r="C50" i="5"/>
  <c r="B50" i="5"/>
  <c r="A50" i="5"/>
  <c r="H49" i="5" a="1"/>
  <c r="H49" i="5" s="1"/>
  <c r="D49" i="5"/>
  <c r="C49" i="5"/>
  <c r="B49" i="5"/>
  <c r="A49" i="5"/>
  <c r="H48" i="5" a="1"/>
  <c r="H48" i="5" s="1"/>
  <c r="D48" i="5"/>
  <c r="C48" i="5"/>
  <c r="B48" i="5"/>
  <c r="A48" i="5"/>
  <c r="H47" i="5" a="1"/>
  <c r="H47" i="5" s="1"/>
  <c r="D47" i="5"/>
  <c r="C47" i="5"/>
  <c r="B47" i="5"/>
  <c r="A47" i="5"/>
  <c r="H46" i="5" a="1"/>
  <c r="H46" i="5" s="1"/>
  <c r="D46" i="5"/>
  <c r="C46" i="5"/>
  <c r="B46" i="5"/>
  <c r="A46" i="5"/>
  <c r="H45" i="5" a="1"/>
  <c r="H45" i="5" s="1"/>
  <c r="D45" i="5"/>
  <c r="C45" i="5"/>
  <c r="B45" i="5"/>
  <c r="A45" i="5"/>
  <c r="H44" i="5" a="1"/>
  <c r="H44" i="5" s="1"/>
  <c r="D44" i="5"/>
  <c r="C44" i="5"/>
  <c r="B44" i="5"/>
  <c r="A44" i="5"/>
  <c r="H43" i="5" a="1"/>
  <c r="H43" i="5" s="1"/>
  <c r="D43" i="5"/>
  <c r="C43" i="5"/>
  <c r="B43" i="5"/>
  <c r="A43" i="5"/>
  <c r="H42" i="5" a="1"/>
  <c r="H42" i="5" s="1"/>
  <c r="D42" i="5"/>
  <c r="C42" i="5"/>
  <c r="B42" i="5"/>
  <c r="A42" i="5"/>
  <c r="H41" i="5" a="1"/>
  <c r="H41" i="5" s="1"/>
  <c r="D41" i="5"/>
  <c r="C41" i="5"/>
  <c r="B41" i="5"/>
  <c r="A41" i="5"/>
  <c r="H40" i="5" a="1"/>
  <c r="H40" i="5" s="1"/>
  <c r="D40" i="5"/>
  <c r="C40" i="5"/>
  <c r="B40" i="5"/>
  <c r="A40" i="5"/>
  <c r="H39" i="5" a="1"/>
  <c r="H39" i="5" s="1"/>
  <c r="D39" i="5"/>
  <c r="C39" i="5"/>
  <c r="B39" i="5"/>
  <c r="A39" i="5"/>
  <c r="H38" i="5" a="1"/>
  <c r="H38" i="5" s="1"/>
  <c r="D38" i="5"/>
  <c r="C38" i="5"/>
  <c r="B38" i="5"/>
  <c r="A38" i="5"/>
  <c r="H37" i="5" a="1"/>
  <c r="H37" i="5" s="1"/>
  <c r="D37" i="5"/>
  <c r="C37" i="5"/>
  <c r="B37" i="5"/>
  <c r="A37" i="5"/>
  <c r="H36" i="5" a="1"/>
  <c r="H36" i="5" s="1"/>
  <c r="D36" i="5"/>
  <c r="C36" i="5"/>
  <c r="B36" i="5"/>
  <c r="A36" i="5"/>
  <c r="H35" i="5" a="1"/>
  <c r="H35" i="5" s="1"/>
  <c r="D35" i="5"/>
  <c r="C35" i="5"/>
  <c r="B35" i="5"/>
  <c r="A35" i="5"/>
  <c r="H34" i="5" a="1"/>
  <c r="H34" i="5" s="1"/>
  <c r="D34" i="5"/>
  <c r="C34" i="5"/>
  <c r="B34" i="5"/>
  <c r="A34" i="5"/>
  <c r="H33" i="5" a="1"/>
  <c r="H33" i="5" s="1"/>
  <c r="D33" i="5"/>
  <c r="C33" i="5"/>
  <c r="B33" i="5"/>
  <c r="A33" i="5"/>
  <c r="H32" i="5" a="1"/>
  <c r="H32" i="5" s="1"/>
  <c r="D32" i="5"/>
  <c r="C32" i="5"/>
  <c r="B32" i="5"/>
  <c r="A32" i="5"/>
  <c r="H31" i="5" a="1"/>
  <c r="H31" i="5" s="1"/>
  <c r="D31" i="5"/>
  <c r="C31" i="5"/>
  <c r="B31" i="5"/>
  <c r="A31" i="5"/>
  <c r="H30" i="5" a="1"/>
  <c r="H30" i="5" s="1"/>
  <c r="D30" i="5"/>
  <c r="C30" i="5"/>
  <c r="B30" i="5"/>
  <c r="A30" i="5"/>
  <c r="H29" i="5" a="1"/>
  <c r="H29" i="5"/>
  <c r="D29" i="5"/>
  <c r="C29" i="5"/>
  <c r="B29" i="5"/>
  <c r="A29" i="5"/>
  <c r="H28" i="5" a="1"/>
  <c r="H28" i="5" s="1"/>
  <c r="D28" i="5"/>
  <c r="C28" i="5"/>
  <c r="B28" i="5"/>
  <c r="A28" i="5"/>
  <c r="H27" i="5" a="1"/>
  <c r="H27" i="5" s="1"/>
  <c r="D27" i="5"/>
  <c r="C27" i="5"/>
  <c r="B27" i="5"/>
  <c r="A27" i="5"/>
  <c r="H26" i="5" a="1"/>
  <c r="H26" i="5" s="1"/>
  <c r="D26" i="5"/>
  <c r="C26" i="5"/>
  <c r="B26" i="5"/>
  <c r="A26" i="5"/>
  <c r="H25" i="5" a="1"/>
  <c r="H25" i="5" s="1"/>
  <c r="D25" i="5"/>
  <c r="C25" i="5"/>
  <c r="B25" i="5"/>
  <c r="A25" i="5"/>
  <c r="H24" i="5" a="1"/>
  <c r="H24" i="5" s="1"/>
  <c r="D24" i="5"/>
  <c r="C24" i="5"/>
  <c r="B24" i="5"/>
  <c r="A24" i="5"/>
  <c r="H23" i="5" a="1"/>
  <c r="H23" i="5" s="1"/>
  <c r="D23" i="5"/>
  <c r="C23" i="5"/>
  <c r="B23" i="5"/>
  <c r="A23" i="5"/>
  <c r="H22" i="5" a="1"/>
  <c r="H22" i="5" s="1"/>
  <c r="D22" i="5"/>
  <c r="C22" i="5"/>
  <c r="B22" i="5"/>
  <c r="A22" i="5"/>
  <c r="H21" i="5" a="1"/>
  <c r="H21" i="5" s="1"/>
  <c r="D21" i="5"/>
  <c r="C21" i="5"/>
  <c r="B21" i="5"/>
  <c r="A21" i="5"/>
  <c r="H20" i="5" a="1"/>
  <c r="H20" i="5" s="1"/>
  <c r="D20" i="5"/>
  <c r="C20" i="5"/>
  <c r="B20" i="5"/>
  <c r="A20" i="5"/>
  <c r="H19" i="5" a="1"/>
  <c r="H19" i="5"/>
  <c r="D19" i="5"/>
  <c r="C19" i="5"/>
  <c r="B19" i="5"/>
  <c r="A19" i="5"/>
  <c r="H18" i="5" a="1"/>
  <c r="H18" i="5" s="1"/>
  <c r="D18" i="5"/>
  <c r="C18" i="5"/>
  <c r="B18" i="5"/>
  <c r="A18" i="5"/>
  <c r="H17" i="5" a="1"/>
  <c r="H17" i="5" s="1"/>
  <c r="D17" i="5"/>
  <c r="C17" i="5"/>
  <c r="B17" i="5"/>
  <c r="A17" i="5"/>
  <c r="H16" i="5" a="1"/>
  <c r="H16" i="5" s="1"/>
  <c r="D16" i="5"/>
  <c r="C16" i="5"/>
  <c r="B16" i="5"/>
  <c r="A16" i="5"/>
  <c r="H15" i="5" a="1"/>
  <c r="H15" i="5" s="1"/>
  <c r="D15" i="5"/>
  <c r="C15" i="5"/>
  <c r="B15" i="5"/>
  <c r="A15" i="5"/>
  <c r="H14" i="5" a="1"/>
  <c r="H14" i="5" s="1"/>
  <c r="D14" i="5"/>
  <c r="C14" i="5"/>
  <c r="B14" i="5"/>
  <c r="A14" i="5"/>
  <c r="H13" i="5" a="1"/>
  <c r="H13" i="5" s="1"/>
  <c r="D13" i="5"/>
  <c r="C13" i="5"/>
  <c r="B13" i="5"/>
  <c r="A13" i="5"/>
  <c r="H12" i="5" a="1"/>
  <c r="H12" i="5" s="1"/>
  <c r="D12" i="5"/>
  <c r="C12" i="5"/>
  <c r="B12" i="5"/>
  <c r="A12" i="5"/>
  <c r="H11" i="5" a="1"/>
  <c r="H11" i="5" s="1"/>
  <c r="D11" i="5"/>
  <c r="C11" i="5"/>
  <c r="B11" i="5"/>
  <c r="A11" i="5"/>
  <c r="H10" i="5" a="1"/>
  <c r="H10" i="5" s="1"/>
  <c r="D10" i="5"/>
  <c r="C10" i="5"/>
  <c r="B10" i="5"/>
  <c r="A10" i="5"/>
  <c r="H9" i="5" a="1"/>
  <c r="H9" i="5" s="1"/>
  <c r="D9" i="5"/>
  <c r="C9" i="5"/>
  <c r="B9" i="5"/>
  <c r="A9" i="5"/>
  <c r="H8" i="5" a="1"/>
  <c r="H8" i="5" s="1"/>
  <c r="D8" i="5"/>
  <c r="C8" i="5"/>
  <c r="B8" i="5"/>
  <c r="A8" i="5"/>
  <c r="H7" i="5" a="1"/>
  <c r="H7" i="5" s="1"/>
  <c r="D7" i="5"/>
  <c r="C7" i="5"/>
  <c r="B7" i="5"/>
  <c r="A7" i="5"/>
  <c r="H6" i="5" a="1"/>
  <c r="H6" i="5" s="1"/>
  <c r="D6" i="5"/>
  <c r="C6" i="5"/>
  <c r="B6" i="5"/>
  <c r="A6" i="5"/>
  <c r="H5" i="5" a="1"/>
  <c r="H5" i="5" s="1"/>
  <c r="D5" i="5"/>
  <c r="C5" i="5"/>
  <c r="B5" i="5"/>
  <c r="A5" i="5"/>
  <c r="J4" i="5" a="1"/>
  <c r="J4" i="5" s="1"/>
  <c r="H4" i="5" a="1"/>
  <c r="H4" i="5" s="1"/>
  <c r="D4" i="5"/>
  <c r="I4" i="5" s="1"/>
  <c r="C4" i="5"/>
  <c r="B4" i="5"/>
  <c r="A4" i="5"/>
  <c r="J3" i="5" a="1"/>
  <c r="J3" i="5" s="1"/>
  <c r="H3" i="5" a="1"/>
  <c r="H3" i="5" s="1"/>
  <c r="D3" i="5"/>
  <c r="I3" i="5" s="1"/>
  <c r="C3" i="5"/>
  <c r="B3" i="5"/>
  <c r="A3" i="5"/>
  <c r="J2" i="5" a="1"/>
  <c r="J2" i="5" s="1"/>
  <c r="H2" i="5" a="1"/>
  <c r="H2" i="5" s="1"/>
  <c r="D2" i="5"/>
  <c r="I2" i="5" s="1"/>
  <c r="C2" i="5"/>
  <c r="B2" i="5"/>
  <c r="A2" i="5"/>
  <c r="B1" i="5"/>
  <c r="A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51B81E-8FF9-47EE-8BA1-2992FFEEEAF3}" keepAlive="1" name="Query - g22 xlsx_semantic_equivalence_action_model_openai-gpt-oss-120b" description="Connection to the 'g22 xlsx_semantic_equivalence_action_model_openai-gpt-oss-120b' query in the workbook." type="5" refreshedVersion="0" background="1">
    <dbPr connection="Provider=Microsoft.Mashup.OleDb.1;Data Source=$Workbook$;Location=&quot;g22 xlsx_semantic_equivalence_action_model_openai-gpt-oss-120b&quot;;Extended Properties=&quot;&quot;" command="SELECT * FROM [g22 xlsx_semantic_equivalence_action_model_openai-gpt-oss-120b]"/>
  </connection>
  <connection id="2" xr16:uid="{083554D9-0F0A-4EBE-9F40-82F8286B446E}" keepAlive="1" name="Query - g22 xlsx_semantic_equivalence_action_model_openai-gpt-oss-120b (2)" description="Connection to the 'g22 xlsx_semantic_equivalence_action_model_openai-gpt-oss-120b (2)' query in the workbook." type="5" refreshedVersion="0" background="1">
    <dbPr connection="Provider=Microsoft.Mashup.OleDb.1;Data Source=$Workbook$;Location=&quot;g22 xlsx_semantic_equivalence_action_model_openai-gpt-oss-120b (2)&quot;;Extended Properties=&quot;&quot;" command="SELECT * FROM [g22 xlsx_semantic_equivalence_action_model_openai-gpt-oss-120b (2)]"/>
  </connection>
  <connection id="3" xr16:uid="{1D0593FB-8041-4695-AFF8-5DBA6293EDAE}" keepAlive="1" name="Query - g22 xlsx_semantic_equivalence_entity_model_openai-gpt-oss-120b" description="Connection to the 'g22 xlsx_semantic_equivalence_entity_model_openai-gpt-oss-120b' query in the workbook." type="5" refreshedVersion="0" background="1">
    <dbPr connection="Provider=Microsoft.Mashup.OleDb.1;Data Source=$Workbook$;Location=&quot;g22 xlsx_semantic_equivalence_entity_model_openai-gpt-oss-120b&quot;;Extended Properties=&quot;&quot;" command="SELECT * FROM [g22 xlsx_semantic_equivalence_entity_model_openai-gpt-oss-120b]"/>
  </connection>
  <connection id="4" xr16:uid="{53198252-E8FF-483D-A961-A385BCCD7EEF}" keepAlive="1" name="Query - g22 xlsx_semantic_equivalence_entity_model_openai-gpt-oss-120b (2)" description="Connection to the 'g22 xlsx_semantic_equivalence_entity_model_openai-gpt-oss-120b (2)' query in the workbook." type="5" refreshedVersion="8" background="1" saveData="1">
    <dbPr connection="Provider=Microsoft.Mashup.OleDb.1;Data Source=$Workbook$;Location=&quot;g22 xlsx_semantic_equivalence_entity_model_openai-gpt-oss-120b (2)&quot;;Extended Properties=&quot;&quot;" command="SELECT * FROM [g22 xlsx_semantic_equivalence_entity_model_openai-gpt-oss-120b (2)]"/>
  </connection>
  <connection id="5" xr16:uid="{7640665C-C5D3-41DB-AE54-BC211403F3B0}" keepAlive="1" name="Query - g22 xlsx_semantic_equivalence_entity_model_openai-gpt-oss-120b (3)" description="Connection to the 'g22 xlsx_semantic_equivalence_entity_model_openai-gpt-oss-120b (3)' query in the workbook." type="5" refreshedVersion="8" background="1" saveData="1">
    <dbPr connection="Provider=Microsoft.Mashup.OleDb.1;Data Source=$Workbook$;Location=&quot;g22 xlsx_semantic_equivalence_entity_model_openai-gpt-oss-120b (3)&quot;;Extended Properties=&quot;&quot;" command="SELECT * FROM [g22 xlsx_semantic_equivalence_entity_model_openai-gpt-oss-120b (3)]"/>
  </connection>
  <connection id="6" xr16:uid="{99596245-3F07-49D9-AA98-BA6ED6559C9C}" keepAlive="1" name="Query - g22 xlsx_semantic_equivalence_persona_model_openai-gpt-oss-120b" description="Connection to the 'g22 xlsx_semantic_equivalence_persona_model_openai-gpt-oss-120b' query in the workbook." type="5" refreshedVersion="0" background="1">
    <dbPr connection="Provider=Microsoft.Mashup.OleDb.1;Data Source=$Workbook$;Location=&quot;g22 xlsx_semantic_equivalence_persona_model_openai-gpt-oss-120b&quot;;Extended Properties=&quot;&quot;" command="SELECT * FROM [g22 xlsx_semantic_equivalence_persona_model_openai-gpt-oss-120b]"/>
  </connection>
  <connection id="7" xr16:uid="{AE64EDC8-4B97-4BBD-BB65-7413C1FA58BB}" keepAlive="1" name="Query - g22 xlsx_semantic_equivalence_persona_model_openai-gpt-oss-120b (2)" description="Connection to the 'g22 xlsx_semantic_equivalence_persona_model_openai-gpt-oss-120b (2)' query in the workbook." type="5" refreshedVersion="8" background="1" saveData="1">
    <dbPr connection="Provider=Microsoft.Mashup.OleDb.1;Data Source=$Workbook$;Location=&quot;g22 xlsx_semantic_equivalence_persona_model_openai-gpt-oss-120b (2)&quot;;Extended Properties=&quot;&quot;" command="SELECT * FROM [g22 xlsx_semantic_equivalence_persona_model_openai-gpt-oss-120b (2)]"/>
  </connection>
  <connection id="8" xr16:uid="{809DA837-7ECC-42A5-9080-9197E3B63E04}" keepAlive="1" name="Query - g22_baseline_lemmatized json_crud_classification_openai-gpt-oss-120b_word_result" description="Connection to the 'g22_baseline_lemmatized json_crud_classification_openai-gpt-oss-120b_word_result' query in the workbook." type="5" refreshedVersion="8" background="1" saveData="1">
    <dbPr connection="Provider=Microsoft.Mashup.OleDb.1;Data Source=$Workbook$;Location=&quot;g22_baseline_lemmatized json_crud_classification_openai-gpt-oss-120b_word_result&quot;;Extended Properties=&quot;&quot;" command="SELECT * FROM [g22_baseline_lemmatized json_crud_classification_openai-gpt-oss-120b_word_result]"/>
  </connection>
</connections>
</file>

<file path=xl/sharedStrings.xml><?xml version="1.0" encoding="utf-8"?>
<sst xmlns="http://schemas.openxmlformats.org/spreadsheetml/2006/main" count="2564" uniqueCount="726">
  <si>
    <t>We have a modular approach for the data classification</t>
  </si>
  <si>
    <t>HS= Helpersheet</t>
  </si>
  <si>
    <t>P=Persona</t>
  </si>
  <si>
    <t>A=Activity</t>
  </si>
  <si>
    <t>E=Entity</t>
  </si>
  <si>
    <t>/</t>
  </si>
  <si>
    <t>Goal - Action</t>
  </si>
  <si>
    <t>Benefit - Action</t>
  </si>
  <si>
    <t>Persona</t>
  </si>
  <si>
    <t>Goal Activity</t>
  </si>
  <si>
    <t>Goal Entity</t>
  </si>
  <si>
    <t>Goal Activity 2</t>
  </si>
  <si>
    <t>Goal Entity 2</t>
  </si>
  <si>
    <t>Goal Activity 3</t>
  </si>
  <si>
    <t>Goal Entity 3</t>
  </si>
  <si>
    <t>Benefit Activity</t>
  </si>
  <si>
    <t>Benefit Entity</t>
  </si>
  <si>
    <t>Benefit Activity 2</t>
  </si>
  <si>
    <t>Benefit Entity 2</t>
  </si>
  <si>
    <t>Benefit Activity 3</t>
  </si>
  <si>
    <t>Benefit Entity 3</t>
  </si>
  <si>
    <t>Benefit Activity 4</t>
  </si>
  <si>
    <t>Benefit Entity 4</t>
  </si>
  <si>
    <t>PI</t>
  </si>
  <si>
    <t>properly record</t>
  </si>
  <si>
    <t>all metadata</t>
  </si>
  <si>
    <t>ensure</t>
  </si>
  <si>
    <t>proper running</t>
  </si>
  <si>
    <t>changes</t>
  </si>
  <si>
    <t>staff</t>
  </si>
  <si>
    <t>researcher</t>
  </si>
  <si>
    <t>indicate</t>
  </si>
  <si>
    <t>where</t>
  </si>
  <si>
    <t>stored</t>
  </si>
  <si>
    <t>data</t>
  </si>
  <si>
    <t>import</t>
  </si>
  <si>
    <t>metadata</t>
  </si>
  <si>
    <t>data manager</t>
  </si>
  <si>
    <t>know</t>
  </si>
  <si>
    <t>how</t>
  </si>
  <si>
    <t>used</t>
  </si>
  <si>
    <t>develop</t>
  </si>
  <si>
    <t>more detailed usage</t>
  </si>
  <si>
    <t>support</t>
  </si>
  <si>
    <t>scenarios</t>
  </si>
  <si>
    <t>repository owner</t>
  </si>
  <si>
    <t>check</t>
  </si>
  <si>
    <t>planned provenance</t>
  </si>
  <si>
    <t>calculate</t>
  </si>
  <si>
    <t>necessary submission fees</t>
  </si>
  <si>
    <t>IT manager</t>
  </si>
  <si>
    <t>IT resource requirements</t>
  </si>
  <si>
    <t>enable</t>
  </si>
  <si>
    <t>resource acquisition planning</t>
  </si>
  <si>
    <t>plan</t>
  </si>
  <si>
    <t>kind of data I want to record/store</t>
  </si>
  <si>
    <t>IT staff member</t>
  </si>
  <si>
    <t>security requirements</t>
  </si>
  <si>
    <t xml:space="preserve"> kind of security measures</t>
  </si>
  <si>
    <t>apply</t>
  </si>
  <si>
    <t>have</t>
  </si>
  <si>
    <t>description</t>
  </si>
  <si>
    <t>add</t>
  </si>
  <si>
    <t>detail</t>
  </si>
  <si>
    <t>topics</t>
  </si>
  <si>
    <t>content</t>
  </si>
  <si>
    <t>decide</t>
  </si>
  <si>
    <t>collection</t>
  </si>
  <si>
    <t>repository</t>
  </si>
  <si>
    <t>record</t>
  </si>
  <si>
    <t>information</t>
  </si>
  <si>
    <t>legalofficer</t>
  </si>
  <si>
    <t>data sensitivity</t>
  </si>
  <si>
    <t>establish</t>
  </si>
  <si>
    <t>sharing options</t>
  </si>
  <si>
    <t>data librarian</t>
  </si>
  <si>
    <t>extract</t>
  </si>
  <si>
    <t>pointers</t>
  </si>
  <si>
    <t>estimate</t>
  </si>
  <si>
    <t>overall storage consumption</t>
  </si>
  <si>
    <t>administrator</t>
  </si>
  <si>
    <t>who</t>
  </si>
  <si>
    <t>funded</t>
  </si>
  <si>
    <t>project</t>
  </si>
  <si>
    <t>track</t>
  </si>
  <si>
    <t>funder specific obligations</t>
  </si>
  <si>
    <t>archivemanager</t>
  </si>
  <si>
    <t>legal status</t>
  </si>
  <si>
    <t>legal requirements</t>
  </si>
  <si>
    <t>kind of data types</t>
  </si>
  <si>
    <t>determine</t>
  </si>
  <si>
    <t>basic support services</t>
  </si>
  <si>
    <t>functionalities</t>
  </si>
  <si>
    <t>know in advance</t>
  </si>
  <si>
    <t>conservation period</t>
  </si>
  <si>
    <t>better organize</t>
  </si>
  <si>
    <t>service</t>
  </si>
  <si>
    <t>adapting</t>
  </si>
  <si>
    <t>preservation actions</t>
  </si>
  <si>
    <t>document</t>
  </si>
  <si>
    <t>all rights</t>
  </si>
  <si>
    <t>managing</t>
  </si>
  <si>
    <t>curate</t>
  </si>
  <si>
    <t>preserve</t>
  </si>
  <si>
    <t>maintaining</t>
  </si>
  <si>
    <t>intellectual reusability</t>
  </si>
  <si>
    <t>necessary expertise</t>
  </si>
  <si>
    <t>research head</t>
  </si>
  <si>
    <t>access</t>
  </si>
  <si>
    <t>persistent identifiers</t>
  </si>
  <si>
    <t>DMP</t>
  </si>
  <si>
    <t>implemented</t>
  </si>
  <si>
    <t>funder</t>
  </si>
  <si>
    <t>read</t>
  </si>
  <si>
    <t>costs</t>
  </si>
  <si>
    <t>policies</t>
  </si>
  <si>
    <t>want</t>
  </si>
  <si>
    <t>prepopulate</t>
  </si>
  <si>
    <t>stakeholder</t>
  </si>
  <si>
    <t>when</t>
  </si>
  <si>
    <t>created</t>
  </si>
  <si>
    <t>data management plan</t>
  </si>
  <si>
    <t>updated</t>
  </si>
  <si>
    <t>how up-to-date</t>
  </si>
  <si>
    <t>who is responsible</t>
  </si>
  <si>
    <t>ask</t>
  </si>
  <si>
    <t>further details</t>
  </si>
  <si>
    <t>references</t>
  </si>
  <si>
    <t>look up</t>
  </si>
  <si>
    <t>further general information</t>
  </si>
  <si>
    <t>metadata manager</t>
  </si>
  <si>
    <t>short description</t>
  </si>
  <si>
    <t>rector</t>
  </si>
  <si>
    <t>how many</t>
  </si>
  <si>
    <t>long term resources</t>
  </si>
  <si>
    <t>time plan</t>
  </si>
  <si>
    <t>collecting</t>
  </si>
  <si>
    <t>data management</t>
  </si>
  <si>
    <t>administrative information</t>
  </si>
  <si>
    <t>manager</t>
  </si>
  <si>
    <t>all resources</t>
  </si>
  <si>
    <t>services used</t>
  </si>
  <si>
    <t>true cost</t>
  </si>
  <si>
    <t>reuse</t>
  </si>
  <si>
    <t>automated checks</t>
  </si>
  <si>
    <t>writing</t>
  </si>
  <si>
    <t>data paper</t>
  </si>
  <si>
    <t>research publications</t>
  </si>
  <si>
    <t>generate</t>
  </si>
  <si>
    <t>reports</t>
  </si>
  <si>
    <t>link</t>
  </si>
  <si>
    <t>store</t>
  </si>
  <si>
    <t>agreements</t>
  </si>
  <si>
    <t>cited</t>
  </si>
  <si>
    <t>attributed</t>
  </si>
  <si>
    <t>used correctly</t>
  </si>
  <si>
    <t>ethics manager</t>
  </si>
  <si>
    <t>be informed</t>
  </si>
  <si>
    <t>sensitivity</t>
  </si>
  <si>
    <t>repository operator</t>
  </si>
  <si>
    <t>kind of data</t>
  </si>
  <si>
    <t>evaluate</t>
  </si>
  <si>
    <t>storage size</t>
  </si>
  <si>
    <t>system</t>
  </si>
  <si>
    <t>research</t>
  </si>
  <si>
    <t>repository manager</t>
  </si>
  <si>
    <t>need</t>
  </si>
  <si>
    <t>details</t>
  </si>
  <si>
    <t>archiving</t>
  </si>
  <si>
    <t>arranged</t>
  </si>
  <si>
    <t>IT officer</t>
  </si>
  <si>
    <t>how secure</t>
  </si>
  <si>
    <t>legal compliance</t>
  </si>
  <si>
    <t>Research Centre Director</t>
  </si>
  <si>
    <t>receive</t>
  </si>
  <si>
    <t>regular summary reports</t>
  </si>
  <si>
    <t>understand</t>
  </si>
  <si>
    <t>trends</t>
  </si>
  <si>
    <t>Postgraduate Convenor</t>
  </si>
  <si>
    <t>research support officer</t>
  </si>
  <si>
    <t>accepted</t>
  </si>
  <si>
    <t>all costs</t>
  </si>
  <si>
    <t>repositories mentioned</t>
  </si>
  <si>
    <t>followed</t>
  </si>
  <si>
    <t>funding rules</t>
  </si>
  <si>
    <t>verify</t>
  </si>
  <si>
    <t>kind of data I want to store</t>
  </si>
  <si>
    <t>Director of Research Integrity</t>
  </si>
  <si>
    <t>confirm</t>
  </si>
  <si>
    <t>security protocols</t>
  </si>
  <si>
    <t>applied</t>
  </si>
  <si>
    <t>classified</t>
  </si>
  <si>
    <t>archive</t>
  </si>
  <si>
    <t>get</t>
  </si>
  <si>
    <t>provide</t>
  </si>
  <si>
    <t>adequate storage infrastructure</t>
  </si>
  <si>
    <t>how long</t>
  </si>
  <si>
    <t>further steps</t>
  </si>
  <si>
    <t>what</t>
  </si>
  <si>
    <t>creation process</t>
  </si>
  <si>
    <t>re-used</t>
  </si>
  <si>
    <t>managed</t>
  </si>
  <si>
    <t>associated</t>
  </si>
  <si>
    <t>detailed metadata</t>
  </si>
  <si>
    <t>kind of basic services</t>
  </si>
  <si>
    <t>maintained</t>
  </si>
  <si>
    <t>dependencies</t>
  </si>
  <si>
    <t>formats</t>
  </si>
  <si>
    <t>kind of technical services</t>
  </si>
  <si>
    <t>software</t>
  </si>
  <si>
    <t>technology</t>
  </si>
  <si>
    <t>produced</t>
  </si>
  <si>
    <t>re-use</t>
  </si>
  <si>
    <t>re-using</t>
  </si>
  <si>
    <t>background information</t>
  </si>
  <si>
    <t>use</t>
  </si>
  <si>
    <t>reproduced efficiently</t>
  </si>
  <si>
    <t>(re-)use</t>
  </si>
  <si>
    <t>research evaluation manager</t>
  </si>
  <si>
    <t>quoted correctly</t>
  </si>
  <si>
    <t>all data</t>
  </si>
  <si>
    <t>demonstrate</t>
  </si>
  <si>
    <t>compliance</t>
  </si>
  <si>
    <t>kept secure</t>
  </si>
  <si>
    <t>institutional data steward</t>
  </si>
  <si>
    <t>data sets</t>
  </si>
  <si>
    <t>institutional data manager</t>
  </si>
  <si>
    <t>privacy</t>
  </si>
  <si>
    <t>right storage system</t>
  </si>
  <si>
    <t>sharing permissions</t>
  </si>
  <si>
    <t>see</t>
  </si>
  <si>
    <t>sections</t>
  </si>
  <si>
    <t>share</t>
  </si>
  <si>
    <t>data manager posts</t>
  </si>
  <si>
    <t>submitted</t>
  </si>
  <si>
    <t>roles</t>
  </si>
  <si>
    <t>responsibilities</t>
  </si>
  <si>
    <t>faculty data steward</t>
  </si>
  <si>
    <t>sufficient expertise</t>
  </si>
  <si>
    <t>clarify</t>
  </si>
  <si>
    <t>necessary rights</t>
  </si>
  <si>
    <t>intention</t>
  </si>
  <si>
    <t>data I have collected</t>
  </si>
  <si>
    <t>rights of use</t>
  </si>
  <si>
    <t>anonymization of data</t>
  </si>
  <si>
    <t>participating</t>
  </si>
  <si>
    <t>still ensure</t>
  </si>
  <si>
    <t>reusability of data</t>
  </si>
  <si>
    <t>protect</t>
  </si>
  <si>
    <t>allow</t>
  </si>
  <si>
    <t>multilingual data archive</t>
  </si>
  <si>
    <t>approved</t>
  </si>
  <si>
    <t>proceed</t>
  </si>
  <si>
    <t>required next steps</t>
  </si>
  <si>
    <t>ORIGINAL USID</t>
  </si>
  <si>
    <t>USID</t>
  </si>
  <si>
    <t>User Story Text</t>
  </si>
  <si>
    <t>Activitiy</t>
  </si>
  <si>
    <t>Entity</t>
  </si>
  <si>
    <t>Part</t>
  </si>
  <si>
    <t>G-1</t>
  </si>
  <si>
    <t>As a PI, I want to properly record all metadata.</t>
  </si>
  <si>
    <t>pi</t>
  </si>
  <si>
    <t>Goal</t>
  </si>
  <si>
    <t>B-1</t>
  </si>
  <si>
    <t xml:space="preserve"> so that I can ensure proper running of the project in case of staff changes.</t>
  </si>
  <si>
    <t>Benefit</t>
  </si>
  <si>
    <t>B-2</t>
  </si>
  <si>
    <t>change</t>
  </si>
  <si>
    <t>G-2</t>
  </si>
  <si>
    <t>As a researcher, I want to indicate where my data will be stored during the project and where after the project.</t>
  </si>
  <si>
    <t>G-3</t>
  </si>
  <si>
    <t>B-3</t>
  </si>
  <si>
    <t xml:space="preserve"> so that it remains accessible during all stages of the data lifecycle.</t>
  </si>
  <si>
    <t>datum</t>
  </si>
  <si>
    <t>G-4</t>
  </si>
  <si>
    <t>As a researcher, I want to import metadata that I captured with a metadata tool.</t>
  </si>
  <si>
    <t>G-5</t>
  </si>
  <si>
    <t>As a data manager, I want to know how the data is used.</t>
  </si>
  <si>
    <t>B-4</t>
  </si>
  <si>
    <t xml:space="preserve"> so that I can develop more detailed usage and support scenarios with researchers.</t>
  </si>
  <si>
    <t>B-5</t>
  </si>
  <si>
    <t>B-6</t>
  </si>
  <si>
    <t>scenario</t>
  </si>
  <si>
    <t>G-6</t>
  </si>
  <si>
    <t>As a repository owner, I want to be able to check the planned provenance of the data that will be submitted at the end of a project.</t>
  </si>
  <si>
    <t>plan provenance</t>
  </si>
  <si>
    <t>B-7</t>
  </si>
  <si>
    <t xml:space="preserve"> so that I can calculate necessary submission fees and check whether it belongs to our target group.</t>
  </si>
  <si>
    <t>necessary submission fee</t>
  </si>
  <si>
    <t>G-7</t>
  </si>
  <si>
    <t>As an IT manager, I want to know about IT resource requirements early in the project lifecycle.</t>
  </si>
  <si>
    <t>it manager</t>
  </si>
  <si>
    <t>it resource requirement</t>
  </si>
  <si>
    <t>B-8</t>
  </si>
  <si>
    <t xml:space="preserve"> so that I can enable resource acquisition planning.</t>
  </si>
  <si>
    <t>G-8</t>
  </si>
  <si>
    <t>As a PI, I want to plan what kind of data I want to record/store.</t>
  </si>
  <si>
    <t>kind of data I want to record / store</t>
  </si>
  <si>
    <t>G-9</t>
  </si>
  <si>
    <t>As an IT staff member, I want to know the security requirements of the data.</t>
  </si>
  <si>
    <t>it staff member</t>
  </si>
  <si>
    <t>security requirement</t>
  </si>
  <si>
    <t>B-9</t>
  </si>
  <si>
    <t xml:space="preserve"> so that I know which kind of security measures to apply.</t>
  </si>
  <si>
    <t>kind of security measure</t>
  </si>
  <si>
    <t>B-10</t>
  </si>
  <si>
    <t>G-10</t>
  </si>
  <si>
    <t>As a data manager, I want to have the description of collected data sets that are used or updated throughout the project lifecycle.</t>
  </si>
  <si>
    <t>B-11</t>
  </si>
  <si>
    <t xml:space="preserve"> so that I can ensure the descriptions are current and add detail as the study proceeds.</t>
  </si>
  <si>
    <t>G-11</t>
  </si>
  <si>
    <t>As a researcher, I want to know which topics are mandatory and similar in all DMPs.</t>
  </si>
  <si>
    <t>topic</t>
  </si>
  <si>
    <t>G-12</t>
  </si>
  <si>
    <t>As a data manager, I want to know what the content of the data is.</t>
  </si>
  <si>
    <t>B-12</t>
  </si>
  <si>
    <t xml:space="preserve"> so that I can decide to which collection or repository the data fits.</t>
  </si>
  <si>
    <t>B-13</t>
  </si>
  <si>
    <t>G-13</t>
  </si>
  <si>
    <t>As a PI, I want to record information about my DMP.</t>
  </si>
  <si>
    <t>G-14</t>
  </si>
  <si>
    <t>As a legalofficer, I want to know about data sensitivity.</t>
  </si>
  <si>
    <t>datum sensitivity</t>
  </si>
  <si>
    <t>B-14</t>
  </si>
  <si>
    <t xml:space="preserve"> so that I can establish sharing options.</t>
  </si>
  <si>
    <t>share option</t>
  </si>
  <si>
    <t>G-15</t>
  </si>
  <si>
    <t>As a data librarian, I want to extract pointers from the DMP to metadata held in other systems.</t>
  </si>
  <si>
    <t>pointer</t>
  </si>
  <si>
    <t>B-15</t>
  </si>
  <si>
    <t xml:space="preserve"> so that I can import this metadata into a data catalogue.</t>
  </si>
  <si>
    <t>G-16</t>
  </si>
  <si>
    <t>As an IT staff member, I want to have an estimate of the produced data volume.</t>
  </si>
  <si>
    <t>B-16</t>
  </si>
  <si>
    <t xml:space="preserve"> so that I can plan the overall storage consumption.</t>
  </si>
  <si>
    <t>G-17</t>
  </si>
  <si>
    <t>As an administrator, I want to know who funded the project and their requirements.</t>
  </si>
  <si>
    <t>B-17</t>
  </si>
  <si>
    <t xml:space="preserve"> so that I can track the funder specific obligations.</t>
  </si>
  <si>
    <t>fund</t>
  </si>
  <si>
    <t>B-18</t>
  </si>
  <si>
    <t>funder specific obligation</t>
  </si>
  <si>
    <t>G-18</t>
  </si>
  <si>
    <t>As an archivemanager, I want to know the legal status of data.</t>
  </si>
  <si>
    <t>B-19</t>
  </si>
  <si>
    <t xml:space="preserve"> so that I can apply the legal requirements accordingly.</t>
  </si>
  <si>
    <t>legal requirement</t>
  </si>
  <si>
    <t>G-19</t>
  </si>
  <si>
    <t>As a data manager, I want to know which kind of data types will be produced or collected.</t>
  </si>
  <si>
    <t>kind of datum type</t>
  </si>
  <si>
    <t>B-20</t>
  </si>
  <si>
    <t xml:space="preserve"> so that I can determine what basic support services and functionalities are required.</t>
  </si>
  <si>
    <t>basic support service</t>
  </si>
  <si>
    <t>B-21</t>
  </si>
  <si>
    <t>functionality</t>
  </si>
  <si>
    <t>G-20</t>
  </si>
  <si>
    <t>As an IT staff member, I want to know which kind of data types will be produced or collected.</t>
  </si>
  <si>
    <t>B-22</t>
  </si>
  <si>
    <t>B-23</t>
  </si>
  <si>
    <t>G-21</t>
  </si>
  <si>
    <t>As an archivemanager, I want to know in advance the conservation period of data.</t>
  </si>
  <si>
    <t>B-24</t>
  </si>
  <si>
    <t xml:space="preserve"> so that I can better organize the service by adapting the preservation actions.</t>
  </si>
  <si>
    <t>well organize</t>
  </si>
  <si>
    <t>B-25</t>
  </si>
  <si>
    <t>adapt</t>
  </si>
  <si>
    <t>preservation action</t>
  </si>
  <si>
    <t>G-22</t>
  </si>
  <si>
    <t>As a data manager, I want to document all rights necessary for managing the data.</t>
  </si>
  <si>
    <t>all right</t>
  </si>
  <si>
    <t>B-26</t>
  </si>
  <si>
    <t xml:space="preserve"> so that I can curate and preserve the data.</t>
  </si>
  <si>
    <t>manage</t>
  </si>
  <si>
    <t>B-27</t>
  </si>
  <si>
    <t>B-28</t>
  </si>
  <si>
    <t>G-23</t>
  </si>
  <si>
    <t>B-29</t>
  </si>
  <si>
    <t xml:space="preserve"> so that I can check whether the necessary expertise for maintaining intellectual reusability is available.</t>
  </si>
  <si>
    <t>maintain</t>
  </si>
  <si>
    <t>B-30</t>
  </si>
  <si>
    <t>G-24</t>
  </si>
  <si>
    <t>As a research head, I want to access to the persistent identifiers of datasets provided in the DMP.</t>
  </si>
  <si>
    <t>persistent identifier</t>
  </si>
  <si>
    <t>B-31</t>
  </si>
  <si>
    <t xml:space="preserve"> so that I can check that the DMP has been implemented.</t>
  </si>
  <si>
    <t>dmp</t>
  </si>
  <si>
    <t>B-32</t>
  </si>
  <si>
    <t>implement</t>
  </si>
  <si>
    <t>G-25</t>
  </si>
  <si>
    <t>As a funder, I want to be able to read the costs for data management from the DMP.</t>
  </si>
  <si>
    <t>cost</t>
  </si>
  <si>
    <t>B-33</t>
  </si>
  <si>
    <t xml:space="preserve"> so that I can check whether our policies work as intended.</t>
  </si>
  <si>
    <t>policy</t>
  </si>
  <si>
    <t>G-26</t>
  </si>
  <si>
    <t>As a researcher, I want the DMP to prepopulate information that I have already entered in other institutional systems.</t>
  </si>
  <si>
    <t>B-34</t>
  </si>
  <si>
    <t xml:space="preserve"> so that I do not have to re-enter information ensuring the DMP contains accurate and standardized information.</t>
  </si>
  <si>
    <t>G-27</t>
  </si>
  <si>
    <t>As a stakeholder, I want to know when the data management plan was created or updated.</t>
  </si>
  <si>
    <t>B-35</t>
  </si>
  <si>
    <t xml:space="preserve"> so that I know how up-to-date the plan is or whether it needs to be updated.</t>
  </si>
  <si>
    <t>create</t>
  </si>
  <si>
    <t>datum management plan</t>
  </si>
  <si>
    <t>B-36</t>
  </si>
  <si>
    <t>update</t>
  </si>
  <si>
    <t>B-37</t>
  </si>
  <si>
    <t>how up - to - date</t>
  </si>
  <si>
    <t>B-38</t>
  </si>
  <si>
    <t>G-28</t>
  </si>
  <si>
    <t>As a stakeholder, I want to know who is responsible for the DMP.</t>
  </si>
  <si>
    <t>who be responsible</t>
  </si>
  <si>
    <t>B-39</t>
  </si>
  <si>
    <t xml:space="preserve"> so that I can ask them about further details.</t>
  </si>
  <si>
    <t>further detail</t>
  </si>
  <si>
    <t>G-29</t>
  </si>
  <si>
    <t>As a stakeholder, I want to have references to the project proposal.</t>
  </si>
  <si>
    <t>reference</t>
  </si>
  <si>
    <t>B-40</t>
  </si>
  <si>
    <t xml:space="preserve"> so that I can look up further general information.</t>
  </si>
  <si>
    <t>G-30</t>
  </si>
  <si>
    <t>As a metadata manager, I want to have a short description of project.</t>
  </si>
  <si>
    <t>G-31</t>
  </si>
  <si>
    <t>As a rector, I want to know how many data will be stored.</t>
  </si>
  <si>
    <t>B-41</t>
  </si>
  <si>
    <t xml:space="preserve"> so that I can plan long term resources.</t>
  </si>
  <si>
    <t>B-42</t>
  </si>
  <si>
    <t>long term resource</t>
  </si>
  <si>
    <t>G-32</t>
  </si>
  <si>
    <t>As a data manager, I want to know the time plan for collecting data.</t>
  </si>
  <si>
    <t>B-43</t>
  </si>
  <si>
    <t xml:space="preserve"> so that I can plan the data management.</t>
  </si>
  <si>
    <t>collect</t>
  </si>
  <si>
    <t>B-44</t>
  </si>
  <si>
    <t>G-33</t>
  </si>
  <si>
    <t>As a data librarian, I want to import administrative information regarding a project into DMP.</t>
  </si>
  <si>
    <t>B-45</t>
  </si>
  <si>
    <t xml:space="preserve"> so that I can prepopulate the DMP.</t>
  </si>
  <si>
    <t>G-34</t>
  </si>
  <si>
    <t>As a manager, I want to know about all resources and services used for the data.</t>
  </si>
  <si>
    <t>all resource</t>
  </si>
  <si>
    <t>G-35</t>
  </si>
  <si>
    <t>service use</t>
  </si>
  <si>
    <t>B-46</t>
  </si>
  <si>
    <t xml:space="preserve"> so that I can estimate the true cost of the project.</t>
  </si>
  <si>
    <t>G-36</t>
  </si>
  <si>
    <t>As an archivemanager, I want to reuse the information regarding file format.</t>
  </si>
  <si>
    <t>B-47</t>
  </si>
  <si>
    <t xml:space="preserve"> so that I can apply automated checks for the file validation.</t>
  </si>
  <si>
    <t>automated check</t>
  </si>
  <si>
    <t>G-37</t>
  </si>
  <si>
    <t>As a researcher, I want to know how many resources are needed during the project.</t>
  </si>
  <si>
    <t>B-48</t>
  </si>
  <si>
    <t xml:space="preserve"> so that I can calculate costs.</t>
  </si>
  <si>
    <t>G-38</t>
  </si>
  <si>
    <t>As a researcher, I want to extract the description of the data collected.</t>
  </si>
  <si>
    <t>B-49</t>
  </si>
  <si>
    <t xml:space="preserve"> so that I can reuse it for the writing of a data paper.</t>
  </si>
  <si>
    <t>write</t>
  </si>
  <si>
    <t>G-39</t>
  </si>
  <si>
    <t>As a researcher, I want to record research publications in the institutional repository or CRIS with DMP records.</t>
  </si>
  <si>
    <t>research publication</t>
  </si>
  <si>
    <t>B-50</t>
  </si>
  <si>
    <t xml:space="preserve"> so that I can generate reports of research output resulting from a project.</t>
  </si>
  <si>
    <t>report</t>
  </si>
  <si>
    <t>G-40</t>
  </si>
  <si>
    <t>As a researcher, I want to link research publications in the institutional repository or CRIS with DMP records.</t>
  </si>
  <si>
    <t>B-51</t>
  </si>
  <si>
    <t>G-41</t>
  </si>
  <si>
    <t>As a researcher, I want to store agreements relating to third party data used in a project.</t>
  </si>
  <si>
    <t>agreement</t>
  </si>
  <si>
    <t>B-52</t>
  </si>
  <si>
    <t xml:space="preserve"> so that the data can be cited, attributed and used correctly.</t>
  </si>
  <si>
    <t>cite</t>
  </si>
  <si>
    <t>B-53</t>
  </si>
  <si>
    <t>attribute</t>
  </si>
  <si>
    <t>B-54</t>
  </si>
  <si>
    <t>use correctly</t>
  </si>
  <si>
    <t>G-42</t>
  </si>
  <si>
    <t>As an ethics manager, I want to be informed about the data.</t>
  </si>
  <si>
    <t>be inform</t>
  </si>
  <si>
    <t>B-55</t>
  </si>
  <si>
    <t xml:space="preserve"> so that I can check for sensitivity of data.</t>
  </si>
  <si>
    <t>G-43</t>
  </si>
  <si>
    <t>As a repository operator, I want to know about the kind of data.</t>
  </si>
  <si>
    <t>B-56</t>
  </si>
  <si>
    <t xml:space="preserve"> so that I can evaluate the storage size and system.</t>
  </si>
  <si>
    <t>B-57</t>
  </si>
  <si>
    <t>G-44</t>
  </si>
  <si>
    <t>As a researcher, I want to know about costs.</t>
  </si>
  <si>
    <t>B-58</t>
  </si>
  <si>
    <t xml:space="preserve"> so that I can plan my research.</t>
  </si>
  <si>
    <t>G-45</t>
  </si>
  <si>
    <t>As a repository manager, I need details on the type of data.</t>
  </si>
  <si>
    <t>B-59</t>
  </si>
  <si>
    <t xml:space="preserve"> so that I can check if the archiving can be arranged.</t>
  </si>
  <si>
    <t>B-60</t>
  </si>
  <si>
    <t>arrange</t>
  </si>
  <si>
    <t>G-46</t>
  </si>
  <si>
    <t>As an IT officer, I want to know how secure data is.</t>
  </si>
  <si>
    <t>it officer</t>
  </si>
  <si>
    <t>B-61</t>
  </si>
  <si>
    <t xml:space="preserve"> so that I can ensure legal compliance.</t>
  </si>
  <si>
    <t>G-47</t>
  </si>
  <si>
    <t>As a funder, I want to know how secure data is.</t>
  </si>
  <si>
    <t>B-62</t>
  </si>
  <si>
    <t>G-48</t>
  </si>
  <si>
    <t>As a Research Centre Director, I want to receive regular summary reports of research data.</t>
  </si>
  <si>
    <t>research centre director</t>
  </si>
  <si>
    <t>regular summary report</t>
  </si>
  <si>
    <t>B-63</t>
  </si>
  <si>
    <t xml:space="preserve"> so that I understand trends in data use among staff and postgraduate students.</t>
  </si>
  <si>
    <t>trend</t>
  </si>
  <si>
    <t>G-49</t>
  </si>
  <si>
    <t>As a Postgraduate Convenor, I want to receive regular summary reports of research data.</t>
  </si>
  <si>
    <t>postgraduate convenor</t>
  </si>
  <si>
    <t>B-64</t>
  </si>
  <si>
    <t>B-65</t>
  </si>
  <si>
    <t xml:space="preserve"> so that I can ensure all costs will be accepted.</t>
  </si>
  <si>
    <t>accept</t>
  </si>
  <si>
    <t>all cost</t>
  </si>
  <si>
    <t>G-50</t>
  </si>
  <si>
    <t>As a funder, I want to be able to check all the repositories mentioned in a DMP.</t>
  </si>
  <si>
    <t>repository mention</t>
  </si>
  <si>
    <t>B-66</t>
  </si>
  <si>
    <t xml:space="preserve"> so that I can verify whether the project has followed our funding rules.</t>
  </si>
  <si>
    <t>follow</t>
  </si>
  <si>
    <t>funding rule</t>
  </si>
  <si>
    <t>B-67</t>
  </si>
  <si>
    <t>G-51</t>
  </si>
  <si>
    <t>As a PI, I want to plan what kind of data I want to store.</t>
  </si>
  <si>
    <t>G-52</t>
  </si>
  <si>
    <t>As a PI, I want to know how secure data is.</t>
  </si>
  <si>
    <t>B-68</t>
  </si>
  <si>
    <t>G-53</t>
  </si>
  <si>
    <t>As a Director of Research Integrity, I want to access reports containing details of research projects in which data are classified as sensitive or highly sensitive.</t>
  </si>
  <si>
    <t>director of research integrity</t>
  </si>
  <si>
    <t>B-69</t>
  </si>
  <si>
    <t xml:space="preserve"> so that I can confirm security protocols are applied to these data.</t>
  </si>
  <si>
    <t>security protocol</t>
  </si>
  <si>
    <t>B-70</t>
  </si>
  <si>
    <t>B-71</t>
  </si>
  <si>
    <t>G-54</t>
  </si>
  <si>
    <t>As an archive, I want to get information about the volume of data to preserve at an early stage.</t>
  </si>
  <si>
    <t>B-72</t>
  </si>
  <si>
    <t xml:space="preserve"> so that I can provide the adequate storage infrastructure.</t>
  </si>
  <si>
    <t>G-55</t>
  </si>
  <si>
    <t>As a researcher, I want to know how long it will take to archive.</t>
  </si>
  <si>
    <t>B-73</t>
  </si>
  <si>
    <t xml:space="preserve"> so that I can plan further steps.</t>
  </si>
  <si>
    <t>further step</t>
  </si>
  <si>
    <t>G-56</t>
  </si>
  <si>
    <t>As a PI, I want to know who owns the data.</t>
  </si>
  <si>
    <t>B-74</t>
  </si>
  <si>
    <t xml:space="preserve"> so that I know what I am allowed to do with it.</t>
  </si>
  <si>
    <t>G-57</t>
  </si>
  <si>
    <t>As a data manager, I want to have references to documentation of the data and its creation process.</t>
  </si>
  <si>
    <t>G-58</t>
  </si>
  <si>
    <t>B-75</t>
  </si>
  <si>
    <t xml:space="preserve"> so that the data can be re-used and managed.</t>
  </si>
  <si>
    <t>re - use</t>
  </si>
  <si>
    <t>B-76</t>
  </si>
  <si>
    <t>B-77</t>
  </si>
  <si>
    <t>so that it will be understandable by future users.</t>
  </si>
  <si>
    <t>associate</t>
  </si>
  <si>
    <t>G-59</t>
  </si>
  <si>
    <t>G-60</t>
  </si>
  <si>
    <t>G-61</t>
  </si>
  <si>
    <t>As an IT staff member, I want to know how the data is used.</t>
  </si>
  <si>
    <t>B-78</t>
  </si>
  <si>
    <t xml:space="preserve"> so that I can determine what kind of basic services and functionalities are required.</t>
  </si>
  <si>
    <t>B-79</t>
  </si>
  <si>
    <t>kind of basic service</t>
  </si>
  <si>
    <t>B-80</t>
  </si>
  <si>
    <t>B-81</t>
  </si>
  <si>
    <t xml:space="preserve"> so that I can ensure that these dependencies are maintained.</t>
  </si>
  <si>
    <t>dependency</t>
  </si>
  <si>
    <t>G-62</t>
  </si>
  <si>
    <t>As an IT staff member, I want to know which formats are used.</t>
  </si>
  <si>
    <t>format</t>
  </si>
  <si>
    <t>B-82</t>
  </si>
  <si>
    <t xml:space="preserve"> so that I can determine what kind of technical services and functionalities are required.</t>
  </si>
  <si>
    <t>kind of technical service</t>
  </si>
  <si>
    <t>B-83</t>
  </si>
  <si>
    <t>G-63</t>
  </si>
  <si>
    <t>As an IT staff member, I want to know with which software or technology the data is produced or used.</t>
  </si>
  <si>
    <t>B-84</t>
  </si>
  <si>
    <t>produce</t>
  </si>
  <si>
    <t>B-85</t>
  </si>
  <si>
    <t>G-64</t>
  </si>
  <si>
    <t>B-86</t>
  </si>
  <si>
    <t>B-87</t>
  </si>
  <si>
    <t>G-65</t>
  </si>
  <si>
    <t>As a data manager, I want to know which information is necessary to re-use the data.</t>
  </si>
  <si>
    <t>B-88</t>
  </si>
  <si>
    <t xml:space="preserve"> so that it can be checked whether all necessary information is available for researchers interested in re-using the data.</t>
  </si>
  <si>
    <t>B-89</t>
  </si>
  <si>
    <t>G-66</t>
  </si>
  <si>
    <t>As a data manager, I want to know which formats are used.</t>
  </si>
  <si>
    <t>B-90</t>
  </si>
  <si>
    <t xml:space="preserve"> so that I know what technology or background information might be necessary to use the data.</t>
  </si>
  <si>
    <t>B-91</t>
  </si>
  <si>
    <t>B-92</t>
  </si>
  <si>
    <t>B-93</t>
  </si>
  <si>
    <t xml:space="preserve"> so that I can determine whether and how the data has to be stored.</t>
  </si>
  <si>
    <t>reproduce efficiently</t>
  </si>
  <si>
    <t>B-94</t>
  </si>
  <si>
    <t>B-95</t>
  </si>
  <si>
    <t>G-67</t>
  </si>
  <si>
    <t>As a data manager, I want to know with which software or technology the data is produced or used.</t>
  </si>
  <si>
    <t>G-68</t>
  </si>
  <si>
    <t>B-96</t>
  </si>
  <si>
    <t xml:space="preserve"> so that I know what technology or background information might be necessary to (re-)use the data.</t>
  </si>
  <si>
    <t>B-97</t>
  </si>
  <si>
    <t>G-69</t>
  </si>
  <si>
    <t>B-98</t>
  </si>
  <si>
    <t>B-99</t>
  </si>
  <si>
    <t>( re-)use</t>
  </si>
  <si>
    <t>B-100</t>
  </si>
  <si>
    <t xml:space="preserve"> so that they are counted towards our citation counts.</t>
  </si>
  <si>
    <t>quote correctly</t>
  </si>
  <si>
    <t>all datum</t>
  </si>
  <si>
    <t>G-70</t>
  </si>
  <si>
    <t>As an administrator, I want to check that all data has the appropriate security level.</t>
  </si>
  <si>
    <t>B-101</t>
  </si>
  <si>
    <t xml:space="preserve"> so that I can demonstrate compliance.</t>
  </si>
  <si>
    <t>G-71</t>
  </si>
  <si>
    <t>As a data manager, I want to know the security requirements of the data.</t>
  </si>
  <si>
    <t>B-102</t>
  </si>
  <si>
    <t xml:space="preserve"> so that I can check whether the data can be kept secure.</t>
  </si>
  <si>
    <t>keep secure</t>
  </si>
  <si>
    <t>G-72</t>
  </si>
  <si>
    <t>As a institutional data steward, I want to be able to extract the data sets that are submitted to external repositories.</t>
  </si>
  <si>
    <t>data set</t>
  </si>
  <si>
    <t>B-103</t>
  </si>
  <si>
    <t xml:space="preserve"> so that I can plan the right storage system and sharing permissions.</t>
  </si>
  <si>
    <t>B-104</t>
  </si>
  <si>
    <t>sharing permission</t>
  </si>
  <si>
    <t>G-73</t>
  </si>
  <si>
    <t>As an institutional data manager, I want to know about the privacy and security requirements of the data.</t>
  </si>
  <si>
    <t>G-74</t>
  </si>
  <si>
    <t>G-75</t>
  </si>
  <si>
    <t>As a researcher, I want to see the sections on costing by other researchers in my department.</t>
  </si>
  <si>
    <t>section</t>
  </si>
  <si>
    <t>B-105</t>
  </si>
  <si>
    <t xml:space="preserve"> so that I can see if we could share data manager posts.</t>
  </si>
  <si>
    <t>data manager post</t>
  </si>
  <si>
    <t>G-76</t>
  </si>
  <si>
    <t>As a researcher, I want to see the sections on roles submitted by other researchers in my department.</t>
  </si>
  <si>
    <t>B-106</t>
  </si>
  <si>
    <t>B-107</t>
  </si>
  <si>
    <t>submit</t>
  </si>
  <si>
    <t>G-77</t>
  </si>
  <si>
    <t>As a researcher, I want to see the sections on responsibilities submitted by other researchers in my department.</t>
  </si>
  <si>
    <t>B-108</t>
  </si>
  <si>
    <t>B-109</t>
  </si>
  <si>
    <t>responsibility</t>
  </si>
  <si>
    <t>G-78</t>
  </si>
  <si>
    <t>As a faculty data steward, I want to see the sections on costing.</t>
  </si>
  <si>
    <t>B-110</t>
  </si>
  <si>
    <t xml:space="preserve"> so that I can ensure sufficient expertise on data management to support the project.</t>
  </si>
  <si>
    <t>B-111</t>
  </si>
  <si>
    <t>G-79</t>
  </si>
  <si>
    <t>As a faculty data steward, I want to see the sections on roles.</t>
  </si>
  <si>
    <t>B-112</t>
  </si>
  <si>
    <t>B-113</t>
  </si>
  <si>
    <t>G-80</t>
  </si>
  <si>
    <t>As a faculty data steward, I want to see the sections on responsibilities.</t>
  </si>
  <si>
    <t>B-114</t>
  </si>
  <si>
    <t>B-115</t>
  </si>
  <si>
    <t>G-81</t>
  </si>
  <si>
    <t>As a data manager, I want to clarify the necessary rights for re-using the data.</t>
  </si>
  <si>
    <t>necessary right</t>
  </si>
  <si>
    <t>B-116</t>
  </si>
  <si>
    <t xml:space="preserve"> so that it is legal to reuse the data.</t>
  </si>
  <si>
    <t>B-117</t>
  </si>
  <si>
    <t>G-82</t>
  </si>
  <si>
    <t>As a researcher, I want to record my intention to share data I have collected under terms of a particular licence.</t>
  </si>
  <si>
    <t>B-118</t>
  </si>
  <si>
    <t xml:space="preserve"> so that other researchers who use the data understand the rights of use.</t>
  </si>
  <si>
    <t>datum I have collect</t>
  </si>
  <si>
    <t>B-119</t>
  </si>
  <si>
    <t>B-120</t>
  </si>
  <si>
    <t>right of use</t>
  </si>
  <si>
    <t>B-121</t>
  </si>
  <si>
    <t xml:space="preserve"> so that we protect the privacy of the people participating in the research as good as possible and still ensure reusability of data.</t>
  </si>
  <si>
    <t>participate</t>
  </si>
  <si>
    <t>B-122</t>
  </si>
  <si>
    <t>reusability of datum</t>
  </si>
  <si>
    <t>B-123</t>
  </si>
  <si>
    <t>G-83</t>
  </si>
  <si>
    <t>As a data manager, I want to plan the anonymization of data.</t>
  </si>
  <si>
    <t>anonymization of datum</t>
  </si>
  <si>
    <t>G-84</t>
  </si>
  <si>
    <t>As a repository manager, I want to have metadata in additional languages.</t>
  </si>
  <si>
    <t>B-124</t>
  </si>
  <si>
    <t xml:space="preserve"> so that I can allow for multilingual data archive.</t>
  </si>
  <si>
    <t>B-125</t>
  </si>
  <si>
    <t xml:space="preserve"> so that I can proceed with the required next steps.</t>
  </si>
  <si>
    <t>approve</t>
  </si>
  <si>
    <t>B-126</t>
  </si>
  <si>
    <t>required next step</t>
  </si>
  <si>
    <t>As a researcher, I want to indicate where my data will be stored during the project</t>
  </si>
  <si>
    <t>As a researcher, I want to indicate where my data will be stored after the project.</t>
  </si>
  <si>
    <t>my data</t>
  </si>
  <si>
    <t>As a manager, I want to know about all resources used for the data.</t>
  </si>
  <si>
    <t>As a manager, I want to know about all services used for the data.</t>
  </si>
  <si>
    <t>As a data manager, I want to have references to documentation of the data.</t>
  </si>
  <si>
    <t>As a data manager, I want to have references to the data creation process.</t>
  </si>
  <si>
    <t>As an IT staff member, I want to know with which software is produced or used.</t>
  </si>
  <si>
    <t>As an IT staff member, I want to know with which technology the data is produced or used.</t>
  </si>
  <si>
    <t>As a data manager, I want to know with which software is used.</t>
  </si>
  <si>
    <t>As a data manager, I want to know with which technology the data is used.</t>
  </si>
  <si>
    <t>As a data manager, I want to know with which software the data is produced.</t>
  </si>
  <si>
    <t>As an institutional data manager, I want to know about the privacy of the data.</t>
  </si>
  <si>
    <t>As an institutional data manager, I want to know about the security requirements of the data.</t>
  </si>
  <si>
    <t>User Story</t>
  </si>
  <si>
    <t>Action</t>
  </si>
  <si>
    <t>Mapped</t>
  </si>
  <si>
    <t>Majority Decision</t>
  </si>
  <si>
    <t xml:space="preserve">context mit nehmen (mit für die Eval nehmen) </t>
  </si>
  <si>
    <t>wir könnten auch nur mal anschauen wie die Verbs gematched werden</t>
  </si>
  <si>
    <t>c</t>
  </si>
  <si>
    <t>r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</si>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</sst>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b/>
      <i/>
      <u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6"/>
  <sheetViews>
    <sheetView zoomScaleNormal="100" workbookViewId="0">
      <selection activeCell="A7" sqref="A7"/>
    </sheetView>
  </sheetViews>
  <sheetFormatPr defaultColWidth="8.7265625" defaultRowHeight="14.25" customHeight="1" x14ac:dyDescent="0.35"/>
  <sheetData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85"/>
  <sheetViews>
    <sheetView zoomScale="190" zoomScaleNormal="190" workbookViewId="0">
      <selection activeCell="A2" sqref="A2"/>
    </sheetView>
  </sheetViews>
  <sheetFormatPr defaultColWidth="8.7265625" defaultRowHeight="14.25" customHeight="1" x14ac:dyDescent="0.35"/>
  <cols>
    <col min="1" max="1" width="32.26953125" style="1" customWidth="1"/>
    <col min="2" max="6" width="13.6328125" customWidth="1"/>
    <col min="7" max="7" width="13.1796875" customWidth="1"/>
    <col min="8" max="8" width="15.453125" customWidth="1"/>
    <col min="9" max="9" width="13.1796875" customWidth="1"/>
    <col min="10" max="10" width="14.08984375" customWidth="1"/>
    <col min="11" max="11" width="17.1796875" customWidth="1"/>
    <col min="12" max="12" width="32.36328125" customWidth="1"/>
    <col min="13" max="13" width="19.453125" customWidth="1"/>
    <col min="14" max="24" width="19.7265625" customWidth="1"/>
  </cols>
  <sheetData>
    <row r="1" spans="1:24" ht="14.5" x14ac:dyDescent="0.35">
      <c r="A1" s="7" t="s">
        <v>5</v>
      </c>
      <c r="B1" s="7"/>
      <c r="C1" s="7" t="s">
        <v>6</v>
      </c>
      <c r="D1" s="7"/>
      <c r="E1" s="7"/>
      <c r="F1" s="7"/>
      <c r="G1" s="7"/>
      <c r="H1" s="7"/>
      <c r="I1" s="7"/>
      <c r="J1" s="7"/>
      <c r="K1" s="8" t="s">
        <v>7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28.5" customHeight="1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2"/>
      <c r="Q2" s="2"/>
      <c r="R2" s="2"/>
      <c r="S2" s="2"/>
      <c r="T2" s="2"/>
      <c r="U2" s="2"/>
      <c r="V2" s="2"/>
      <c r="W2" s="2"/>
      <c r="X2" s="2"/>
    </row>
    <row r="3" spans="1:24" ht="14.5" x14ac:dyDescent="0.35">
      <c r="A3" s="1" t="s">
        <v>23</v>
      </c>
      <c r="B3" s="1" t="s">
        <v>24</v>
      </c>
      <c r="C3" s="1" t="s">
        <v>25</v>
      </c>
      <c r="D3" s="1"/>
      <c r="E3" s="1"/>
      <c r="F3" s="1"/>
      <c r="G3" s="1"/>
      <c r="H3" s="1" t="s">
        <v>26</v>
      </c>
      <c r="I3" s="1" t="s">
        <v>27</v>
      </c>
      <c r="J3" s="1" t="s">
        <v>28</v>
      </c>
      <c r="K3" s="1" t="s">
        <v>29</v>
      </c>
      <c r="L3" s="1"/>
      <c r="M3" s="1"/>
      <c r="N3" s="1"/>
      <c r="O3" s="1"/>
      <c r="P3" s="3"/>
      <c r="Q3" s="3"/>
      <c r="R3" s="3"/>
      <c r="S3" s="3"/>
      <c r="T3" s="3"/>
      <c r="U3" s="3"/>
      <c r="V3" s="3"/>
      <c r="W3" s="3"/>
      <c r="X3" s="3"/>
    </row>
    <row r="4" spans="1:24" ht="14.5" x14ac:dyDescent="0.35">
      <c r="A4" s="1" t="s">
        <v>30</v>
      </c>
      <c r="B4" s="1" t="s">
        <v>31</v>
      </c>
      <c r="C4" s="1" t="s">
        <v>32</v>
      </c>
      <c r="D4" s="1" t="s">
        <v>31</v>
      </c>
      <c r="E4" s="1" t="s">
        <v>32</v>
      </c>
      <c r="F4" s="1"/>
      <c r="G4" s="1"/>
      <c r="H4" s="1" t="s">
        <v>33</v>
      </c>
      <c r="I4" s="1" t="s">
        <v>34</v>
      </c>
      <c r="J4" s="1"/>
      <c r="K4" s="1"/>
      <c r="L4" s="1"/>
      <c r="M4" s="1"/>
      <c r="N4" s="1"/>
      <c r="O4" s="1"/>
      <c r="P4" s="3"/>
      <c r="Q4" s="3"/>
      <c r="R4" s="3"/>
      <c r="S4" s="3"/>
      <c r="T4" s="3"/>
      <c r="U4" s="3"/>
      <c r="V4" s="3"/>
      <c r="W4" s="3"/>
      <c r="X4" s="3"/>
    </row>
    <row r="5" spans="1:24" ht="14.5" x14ac:dyDescent="0.35">
      <c r="A5" s="1" t="s">
        <v>30</v>
      </c>
      <c r="B5" s="1" t="s">
        <v>35</v>
      </c>
      <c r="C5" s="1" t="s">
        <v>36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3"/>
      <c r="Q5" s="3"/>
      <c r="R5" s="3"/>
      <c r="S5" s="3"/>
      <c r="T5" s="3"/>
      <c r="U5" s="3"/>
      <c r="V5" s="3"/>
      <c r="W5" s="3"/>
      <c r="X5" s="3"/>
    </row>
    <row r="6" spans="1:24" ht="28.5" customHeight="1" x14ac:dyDescent="0.35">
      <c r="A6" s="1" t="s">
        <v>37</v>
      </c>
      <c r="B6" s="1" t="s">
        <v>38</v>
      </c>
      <c r="C6" s="1" t="s">
        <v>39</v>
      </c>
      <c r="D6" s="1"/>
      <c r="E6" s="1"/>
      <c r="F6" s="1"/>
      <c r="G6" s="1"/>
      <c r="H6" s="1" t="s">
        <v>40</v>
      </c>
      <c r="I6" s="1" t="s">
        <v>34</v>
      </c>
      <c r="J6" s="1" t="s">
        <v>41</v>
      </c>
      <c r="K6" s="1" t="s">
        <v>42</v>
      </c>
      <c r="L6" s="1" t="s">
        <v>43</v>
      </c>
      <c r="M6" s="1" t="s">
        <v>44</v>
      </c>
      <c r="N6" s="1"/>
      <c r="O6" s="1"/>
      <c r="P6" s="3"/>
      <c r="Q6" s="3"/>
      <c r="R6" s="3"/>
      <c r="S6" s="3"/>
      <c r="T6" s="3"/>
      <c r="U6" s="3"/>
      <c r="V6" s="3"/>
      <c r="W6" s="3"/>
      <c r="X6" s="3"/>
    </row>
    <row r="7" spans="1:24" ht="43.5" customHeight="1" x14ac:dyDescent="0.35">
      <c r="A7" s="1" t="s">
        <v>45</v>
      </c>
      <c r="B7" s="1" t="s">
        <v>46</v>
      </c>
      <c r="C7" s="1" t="s">
        <v>47</v>
      </c>
      <c r="D7" s="1"/>
      <c r="E7" s="1"/>
      <c r="F7" s="1"/>
      <c r="G7" s="1"/>
      <c r="H7" s="1" t="s">
        <v>48</v>
      </c>
      <c r="I7" s="1" t="s">
        <v>49</v>
      </c>
      <c r="J7" s="1"/>
      <c r="K7" s="1"/>
      <c r="L7" s="1"/>
      <c r="M7" s="1"/>
      <c r="N7" s="1"/>
      <c r="O7" s="1"/>
      <c r="P7" s="3"/>
      <c r="Q7" s="3"/>
      <c r="R7" s="3"/>
      <c r="S7" s="3"/>
      <c r="T7" s="3"/>
      <c r="U7" s="3"/>
      <c r="V7" s="3"/>
      <c r="W7" s="3"/>
      <c r="X7" s="3"/>
    </row>
    <row r="8" spans="1:24" ht="43.5" customHeight="1" x14ac:dyDescent="0.35">
      <c r="A8" s="1" t="s">
        <v>50</v>
      </c>
      <c r="B8" s="1" t="s">
        <v>38</v>
      </c>
      <c r="C8" s="1" t="s">
        <v>51</v>
      </c>
      <c r="D8" s="1"/>
      <c r="E8" s="1"/>
      <c r="F8" s="1"/>
      <c r="G8" s="1"/>
      <c r="H8" s="1" t="s">
        <v>52</v>
      </c>
      <c r="I8" s="1" t="s">
        <v>53</v>
      </c>
      <c r="J8" s="1"/>
      <c r="K8" s="1"/>
      <c r="L8" s="1"/>
      <c r="M8" s="1"/>
      <c r="N8" s="1"/>
      <c r="O8" s="1"/>
      <c r="P8" s="3"/>
      <c r="Q8" s="3"/>
      <c r="R8" s="3"/>
      <c r="S8" s="3"/>
      <c r="T8" s="3"/>
      <c r="U8" s="3"/>
      <c r="V8" s="3"/>
      <c r="W8" s="3"/>
      <c r="X8" s="3"/>
    </row>
    <row r="9" spans="1:24" ht="43.5" customHeight="1" x14ac:dyDescent="0.35">
      <c r="A9" s="1" t="s">
        <v>23</v>
      </c>
      <c r="B9" s="1" t="s">
        <v>54</v>
      </c>
      <c r="C9" s="1" t="s">
        <v>55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3"/>
      <c r="Q9" s="3"/>
      <c r="R9" s="3"/>
      <c r="S9" s="3"/>
      <c r="T9" s="3"/>
      <c r="U9" s="3"/>
      <c r="V9" s="3"/>
      <c r="W9" s="3"/>
      <c r="X9" s="3"/>
    </row>
    <row r="10" spans="1:24" ht="43.5" customHeight="1" x14ac:dyDescent="0.35">
      <c r="A10" s="1" t="s">
        <v>56</v>
      </c>
      <c r="B10" s="1" t="s">
        <v>38</v>
      </c>
      <c r="C10" s="1" t="s">
        <v>57</v>
      </c>
      <c r="D10" s="1"/>
      <c r="E10" s="1"/>
      <c r="F10" s="1"/>
      <c r="G10" s="1"/>
      <c r="H10" s="1" t="s">
        <v>38</v>
      </c>
      <c r="I10" s="1" t="s">
        <v>58</v>
      </c>
      <c r="J10" s="1" t="s">
        <v>59</v>
      </c>
      <c r="K10" s="1" t="s">
        <v>58</v>
      </c>
      <c r="L10" s="1"/>
      <c r="M10" s="1"/>
      <c r="N10" s="1"/>
      <c r="O10" s="1"/>
      <c r="P10" s="3"/>
      <c r="Q10" s="3"/>
      <c r="R10" s="3"/>
      <c r="S10" s="3"/>
      <c r="T10" s="3"/>
      <c r="U10" s="3"/>
      <c r="V10" s="3"/>
      <c r="W10" s="3"/>
      <c r="X10" s="3"/>
    </row>
    <row r="11" spans="1:24" ht="14.5" x14ac:dyDescent="0.35">
      <c r="A11" s="1" t="s">
        <v>37</v>
      </c>
      <c r="B11" s="1" t="s">
        <v>60</v>
      </c>
      <c r="C11" s="1" t="s">
        <v>61</v>
      </c>
      <c r="D11" s="1"/>
      <c r="E11" s="1"/>
      <c r="F11" s="1"/>
      <c r="G11" s="1"/>
      <c r="H11" s="1" t="s">
        <v>62</v>
      </c>
      <c r="I11" s="1" t="s">
        <v>63</v>
      </c>
      <c r="J11" s="1"/>
      <c r="K11" s="1"/>
      <c r="L11" s="1"/>
      <c r="M11" s="1"/>
      <c r="N11" s="1"/>
      <c r="O11" s="1"/>
      <c r="P11" s="3"/>
      <c r="Q11" s="3"/>
      <c r="R11" s="3"/>
      <c r="S11" s="3"/>
      <c r="T11" s="3"/>
      <c r="U11" s="3"/>
      <c r="V11" s="3"/>
      <c r="W11" s="3"/>
      <c r="X11" s="3"/>
    </row>
    <row r="12" spans="1:24" ht="14.5" x14ac:dyDescent="0.35">
      <c r="A12" s="1" t="s">
        <v>30</v>
      </c>
      <c r="B12" s="1" t="s">
        <v>38</v>
      </c>
      <c r="C12" s="1" t="s">
        <v>64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3"/>
      <c r="Q12" s="3"/>
      <c r="R12" s="3"/>
      <c r="S12" s="3"/>
      <c r="T12" s="3"/>
      <c r="U12" s="3"/>
      <c r="V12" s="3"/>
      <c r="W12" s="3"/>
      <c r="X12" s="3"/>
    </row>
    <row r="13" spans="1:24" ht="14.5" x14ac:dyDescent="0.35">
      <c r="A13" s="1" t="s">
        <v>37</v>
      </c>
      <c r="B13" s="1" t="s">
        <v>38</v>
      </c>
      <c r="C13" s="1" t="s">
        <v>65</v>
      </c>
      <c r="D13" s="1"/>
      <c r="E13" s="1"/>
      <c r="F13" s="1"/>
      <c r="G13" s="1"/>
      <c r="H13" s="1" t="s">
        <v>66</v>
      </c>
      <c r="I13" s="1" t="s">
        <v>67</v>
      </c>
      <c r="J13" s="1" t="s">
        <v>66</v>
      </c>
      <c r="K13" s="1" t="s">
        <v>68</v>
      </c>
      <c r="L13" s="1"/>
      <c r="M13" s="1"/>
      <c r="N13" s="1"/>
      <c r="O13" s="1"/>
      <c r="P13" s="3"/>
      <c r="Q13" s="3"/>
      <c r="R13" s="3"/>
      <c r="S13" s="3"/>
      <c r="T13" s="3"/>
      <c r="U13" s="3"/>
      <c r="V13" s="3"/>
      <c r="W13" s="3"/>
      <c r="X13" s="3"/>
    </row>
    <row r="14" spans="1:24" ht="14.5" x14ac:dyDescent="0.35">
      <c r="A14" s="1" t="s">
        <v>23</v>
      </c>
      <c r="B14" s="1" t="s">
        <v>69</v>
      </c>
      <c r="C14" s="1" t="s">
        <v>70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3"/>
      <c r="Q14" s="3"/>
      <c r="R14" s="3"/>
      <c r="S14" s="3"/>
      <c r="T14" s="3"/>
      <c r="U14" s="3"/>
      <c r="V14" s="3"/>
      <c r="W14" s="3"/>
      <c r="X14" s="3"/>
    </row>
    <row r="15" spans="1:24" ht="14.5" x14ac:dyDescent="0.35">
      <c r="A15" s="1" t="s">
        <v>71</v>
      </c>
      <c r="B15" s="1" t="s">
        <v>38</v>
      </c>
      <c r="C15" s="1" t="s">
        <v>72</v>
      </c>
      <c r="D15" s="1"/>
      <c r="E15" s="1"/>
      <c r="F15" s="1"/>
      <c r="G15" s="1"/>
      <c r="H15" s="1" t="s">
        <v>73</v>
      </c>
      <c r="I15" s="1" t="s">
        <v>74</v>
      </c>
      <c r="J15" s="1"/>
      <c r="K15" s="1"/>
      <c r="L15" s="1"/>
      <c r="M15" s="1"/>
      <c r="N15" s="1"/>
      <c r="O15" s="1"/>
      <c r="P15" s="3"/>
      <c r="Q15" s="3"/>
      <c r="R15" s="3"/>
      <c r="S15" s="3"/>
      <c r="T15" s="3"/>
      <c r="U15" s="3"/>
      <c r="V15" s="3"/>
      <c r="W15" s="3"/>
      <c r="X15" s="3"/>
    </row>
    <row r="16" spans="1:24" ht="14.5" x14ac:dyDescent="0.35">
      <c r="A16" s="1" t="s">
        <v>75</v>
      </c>
      <c r="B16" s="1" t="s">
        <v>76</v>
      </c>
      <c r="C16" s="1" t="s">
        <v>77</v>
      </c>
      <c r="D16" s="1"/>
      <c r="E16" s="1"/>
      <c r="F16" s="1"/>
      <c r="G16" s="1"/>
      <c r="H16" s="1" t="s">
        <v>35</v>
      </c>
      <c r="I16" s="1" t="s">
        <v>36</v>
      </c>
      <c r="J16" s="1"/>
      <c r="K16" s="1"/>
      <c r="L16" s="1"/>
      <c r="M16" s="1"/>
      <c r="N16" s="1"/>
      <c r="O16" s="1"/>
      <c r="P16" s="3"/>
      <c r="Q16" s="3"/>
      <c r="R16" s="3"/>
      <c r="S16" s="3"/>
      <c r="T16" s="3"/>
      <c r="U16" s="3"/>
      <c r="V16" s="3"/>
      <c r="W16" s="3"/>
      <c r="X16" s="3"/>
    </row>
    <row r="17" spans="1:24" ht="28.5" customHeight="1" x14ac:dyDescent="0.35">
      <c r="A17" s="1" t="s">
        <v>56</v>
      </c>
      <c r="B17" s="1" t="s">
        <v>60</v>
      </c>
      <c r="C17" s="1" t="s">
        <v>78</v>
      </c>
      <c r="D17" s="1"/>
      <c r="E17" s="1"/>
      <c r="F17" s="1"/>
      <c r="G17" s="1"/>
      <c r="H17" s="1" t="s">
        <v>54</v>
      </c>
      <c r="I17" s="1" t="s">
        <v>79</v>
      </c>
      <c r="J17" s="1"/>
      <c r="K17" s="1"/>
      <c r="L17" s="1"/>
      <c r="M17" s="1"/>
      <c r="N17" s="1"/>
      <c r="O17" s="1"/>
      <c r="P17" s="3"/>
      <c r="Q17" s="3"/>
      <c r="R17" s="3"/>
      <c r="S17" s="3"/>
      <c r="T17" s="3"/>
      <c r="U17" s="3"/>
      <c r="V17" s="3"/>
      <c r="W17" s="3"/>
      <c r="X17" s="3"/>
    </row>
    <row r="18" spans="1:24" ht="28.5" customHeight="1" x14ac:dyDescent="0.35">
      <c r="A18" s="1" t="s">
        <v>80</v>
      </c>
      <c r="B18" s="1" t="s">
        <v>38</v>
      </c>
      <c r="C18" s="1" t="s">
        <v>81</v>
      </c>
      <c r="D18" s="1"/>
      <c r="E18" s="1"/>
      <c r="F18" s="1"/>
      <c r="G18" s="1"/>
      <c r="H18" s="1" t="s">
        <v>82</v>
      </c>
      <c r="I18" s="1" t="s">
        <v>83</v>
      </c>
      <c r="J18" s="1" t="s">
        <v>84</v>
      </c>
      <c r="K18" s="1" t="s">
        <v>85</v>
      </c>
      <c r="L18" s="1"/>
      <c r="M18" s="1"/>
      <c r="N18" s="1"/>
      <c r="O18" s="1"/>
      <c r="P18" s="3"/>
      <c r="Q18" s="3"/>
      <c r="R18" s="3"/>
      <c r="S18" s="3"/>
      <c r="T18" s="3"/>
      <c r="U18" s="3"/>
      <c r="V18" s="3"/>
      <c r="W18" s="3"/>
      <c r="X18" s="3"/>
    </row>
    <row r="19" spans="1:24" ht="28.5" customHeight="1" x14ac:dyDescent="0.35">
      <c r="A19" s="1" t="s">
        <v>86</v>
      </c>
      <c r="B19" s="1" t="s">
        <v>38</v>
      </c>
      <c r="C19" s="1" t="s">
        <v>87</v>
      </c>
      <c r="D19" s="1"/>
      <c r="E19" s="1"/>
      <c r="F19" s="1"/>
      <c r="G19" s="1"/>
      <c r="H19" s="1" t="s">
        <v>59</v>
      </c>
      <c r="I19" s="1" t="s">
        <v>88</v>
      </c>
      <c r="J19" s="1"/>
      <c r="K19" s="1"/>
      <c r="L19" s="1"/>
      <c r="M19" s="1"/>
      <c r="N19" s="1"/>
      <c r="O19" s="1"/>
      <c r="P19" s="3"/>
      <c r="Q19" s="3"/>
      <c r="R19" s="3"/>
      <c r="S19" s="3"/>
      <c r="T19" s="3"/>
      <c r="U19" s="3"/>
      <c r="V19" s="3"/>
      <c r="W19" s="3"/>
      <c r="X19" s="3"/>
    </row>
    <row r="20" spans="1:24" ht="28.5" customHeight="1" x14ac:dyDescent="0.35">
      <c r="A20" s="1" t="s">
        <v>37</v>
      </c>
      <c r="B20" s="1" t="s">
        <v>38</v>
      </c>
      <c r="C20" s="1" t="s">
        <v>89</v>
      </c>
      <c r="D20" s="1"/>
      <c r="E20" s="1"/>
      <c r="F20" s="1"/>
      <c r="G20" s="1"/>
      <c r="H20" s="1" t="s">
        <v>90</v>
      </c>
      <c r="I20" s="1" t="s">
        <v>91</v>
      </c>
      <c r="J20" s="1" t="s">
        <v>90</v>
      </c>
      <c r="K20" s="1" t="s">
        <v>92</v>
      </c>
      <c r="L20" s="1"/>
      <c r="M20" s="1"/>
      <c r="N20" s="1"/>
      <c r="O20" s="1"/>
      <c r="P20" s="3"/>
      <c r="Q20" s="3"/>
      <c r="R20" s="3"/>
      <c r="S20" s="3"/>
      <c r="T20" s="3"/>
      <c r="U20" s="3"/>
      <c r="V20" s="3"/>
      <c r="W20" s="3"/>
      <c r="X20" s="3"/>
    </row>
    <row r="21" spans="1:24" ht="28.5" customHeight="1" x14ac:dyDescent="0.35">
      <c r="A21" s="1" t="s">
        <v>56</v>
      </c>
      <c r="B21" s="1" t="s">
        <v>38</v>
      </c>
      <c r="C21" s="1" t="s">
        <v>89</v>
      </c>
      <c r="D21" s="1"/>
      <c r="E21" s="1"/>
      <c r="F21" s="1"/>
      <c r="G21" s="1"/>
      <c r="H21" s="1" t="s">
        <v>90</v>
      </c>
      <c r="I21" s="1" t="s">
        <v>91</v>
      </c>
      <c r="J21" s="1" t="s">
        <v>90</v>
      </c>
      <c r="K21" s="1" t="s">
        <v>92</v>
      </c>
      <c r="L21" s="1"/>
      <c r="M21" s="1"/>
      <c r="N21" s="1"/>
      <c r="O21" s="1"/>
      <c r="P21" s="3"/>
      <c r="Q21" s="3"/>
      <c r="R21" s="3"/>
      <c r="S21" s="3"/>
      <c r="T21" s="3"/>
      <c r="U21" s="3"/>
      <c r="V21" s="3"/>
      <c r="W21" s="3"/>
      <c r="X21" s="3"/>
    </row>
    <row r="22" spans="1:24" ht="28.5" customHeight="1" x14ac:dyDescent="0.35">
      <c r="A22" s="1" t="s">
        <v>86</v>
      </c>
      <c r="B22" s="1" t="s">
        <v>93</v>
      </c>
      <c r="C22" s="1" t="s">
        <v>94</v>
      </c>
      <c r="D22" s="1"/>
      <c r="E22" s="1"/>
      <c r="F22" s="1"/>
      <c r="G22" s="1"/>
      <c r="H22" s="1" t="s">
        <v>95</v>
      </c>
      <c r="I22" s="1" t="s">
        <v>96</v>
      </c>
      <c r="J22" s="1" t="s">
        <v>97</v>
      </c>
      <c r="K22" s="1" t="s">
        <v>98</v>
      </c>
      <c r="L22" s="1"/>
      <c r="M22" s="1"/>
      <c r="N22" s="1"/>
      <c r="O22" s="1"/>
      <c r="P22" s="3"/>
      <c r="Q22" s="3"/>
      <c r="R22" s="3"/>
      <c r="S22" s="3"/>
      <c r="T22" s="3"/>
      <c r="U22" s="3"/>
      <c r="V22" s="3"/>
      <c r="W22" s="3"/>
      <c r="X22" s="3"/>
    </row>
    <row r="23" spans="1:24" ht="14.5" x14ac:dyDescent="0.35">
      <c r="A23" s="1" t="s">
        <v>37</v>
      </c>
      <c r="B23" s="1" t="s">
        <v>99</v>
      </c>
      <c r="C23" s="1" t="s">
        <v>100</v>
      </c>
      <c r="D23" s="1"/>
      <c r="E23" s="1"/>
      <c r="F23" s="1"/>
      <c r="G23" s="1"/>
      <c r="H23" s="1" t="s">
        <v>101</v>
      </c>
      <c r="I23" s="1" t="s">
        <v>34</v>
      </c>
      <c r="J23" s="1" t="s">
        <v>102</v>
      </c>
      <c r="K23" s="1" t="s">
        <v>34</v>
      </c>
      <c r="L23" s="1" t="s">
        <v>103</v>
      </c>
      <c r="M23" s="1" t="s">
        <v>34</v>
      </c>
      <c r="N23" s="1"/>
      <c r="O23" s="1"/>
      <c r="P23" s="3"/>
      <c r="Q23" s="3"/>
      <c r="R23" s="3"/>
      <c r="S23" s="3"/>
      <c r="T23" s="3"/>
      <c r="U23" s="3"/>
      <c r="V23" s="3"/>
      <c r="W23" s="3"/>
      <c r="X23" s="3"/>
    </row>
    <row r="24" spans="1:24" ht="28.5" customHeight="1" x14ac:dyDescent="0.35">
      <c r="A24" s="1" t="s">
        <v>37</v>
      </c>
      <c r="B24" s="1" t="s">
        <v>38</v>
      </c>
      <c r="C24" s="1" t="s">
        <v>65</v>
      </c>
      <c r="D24" s="1"/>
      <c r="E24" s="1"/>
      <c r="F24" s="1"/>
      <c r="G24" s="1"/>
      <c r="H24" s="1" t="s">
        <v>104</v>
      </c>
      <c r="I24" s="1" t="s">
        <v>105</v>
      </c>
      <c r="J24" s="1" t="s">
        <v>46</v>
      </c>
      <c r="K24" s="1" t="s">
        <v>106</v>
      </c>
      <c r="L24" s="1"/>
      <c r="M24" s="1"/>
      <c r="N24" s="1"/>
      <c r="O24" s="1"/>
      <c r="P24" s="3"/>
      <c r="Q24" s="3"/>
      <c r="R24" s="3"/>
      <c r="S24" s="3"/>
      <c r="T24" s="3"/>
      <c r="U24" s="3"/>
      <c r="V24" s="3"/>
      <c r="W24" s="3"/>
      <c r="X24" s="3"/>
    </row>
    <row r="25" spans="1:24" ht="28.5" customHeight="1" x14ac:dyDescent="0.35">
      <c r="A25" s="1" t="s">
        <v>107</v>
      </c>
      <c r="B25" s="1" t="s">
        <v>108</v>
      </c>
      <c r="C25" s="1" t="s">
        <v>109</v>
      </c>
      <c r="D25" s="1"/>
      <c r="E25" s="1"/>
      <c r="F25" s="1"/>
      <c r="G25" s="1"/>
      <c r="H25" s="1" t="s">
        <v>46</v>
      </c>
      <c r="I25" s="1" t="s">
        <v>110</v>
      </c>
      <c r="J25" s="1" t="s">
        <v>111</v>
      </c>
      <c r="K25" s="1" t="s">
        <v>110</v>
      </c>
      <c r="L25" s="1"/>
      <c r="M25" s="1"/>
      <c r="N25" s="1"/>
      <c r="O25" s="1"/>
      <c r="P25" s="3"/>
      <c r="Q25" s="3"/>
      <c r="R25" s="3"/>
      <c r="S25" s="3"/>
      <c r="T25" s="3"/>
      <c r="U25" s="3"/>
      <c r="V25" s="3"/>
      <c r="W25" s="3"/>
      <c r="X25" s="3"/>
    </row>
    <row r="26" spans="1:24" ht="14.5" x14ac:dyDescent="0.35">
      <c r="A26" s="1" t="s">
        <v>112</v>
      </c>
      <c r="B26" s="1" t="s">
        <v>113</v>
      </c>
      <c r="C26" s="1" t="s">
        <v>114</v>
      </c>
      <c r="D26" s="1"/>
      <c r="E26" s="1"/>
      <c r="F26" s="1"/>
      <c r="G26" s="1"/>
      <c r="H26" s="1" t="s">
        <v>46</v>
      </c>
      <c r="I26" s="1" t="s">
        <v>115</v>
      </c>
      <c r="J26" s="1"/>
      <c r="K26" s="1"/>
      <c r="L26" s="1"/>
      <c r="M26" s="1"/>
      <c r="N26" s="1"/>
      <c r="O26" s="1"/>
      <c r="P26" s="3"/>
      <c r="Q26" s="3"/>
      <c r="R26" s="3"/>
      <c r="S26" s="3"/>
      <c r="T26" s="3"/>
      <c r="U26" s="3"/>
      <c r="V26" s="3"/>
      <c r="W26" s="3"/>
      <c r="X26" s="3"/>
    </row>
    <row r="27" spans="1:24" ht="14.5" x14ac:dyDescent="0.35">
      <c r="A27" s="1" t="s">
        <v>30</v>
      </c>
      <c r="B27" s="1" t="s">
        <v>116</v>
      </c>
      <c r="C27" s="1" t="s">
        <v>110</v>
      </c>
      <c r="D27" s="1"/>
      <c r="E27" s="1"/>
      <c r="F27" s="1"/>
      <c r="G27" s="1"/>
      <c r="H27" s="1" t="s">
        <v>117</v>
      </c>
      <c r="I27" s="1" t="s">
        <v>70</v>
      </c>
      <c r="J27" s="1"/>
      <c r="K27" s="1"/>
      <c r="L27" s="1"/>
      <c r="M27" s="1"/>
      <c r="N27" s="1"/>
      <c r="O27" s="1"/>
      <c r="P27" s="3"/>
      <c r="Q27" s="3"/>
      <c r="R27" s="3"/>
      <c r="S27" s="3"/>
      <c r="T27" s="3"/>
      <c r="U27" s="3"/>
      <c r="V27" s="3"/>
      <c r="W27" s="3"/>
      <c r="X27" s="3"/>
    </row>
    <row r="28" spans="1:24" ht="43.5" customHeight="1" x14ac:dyDescent="0.35">
      <c r="A28" s="1" t="s">
        <v>118</v>
      </c>
      <c r="B28" s="1" t="s">
        <v>38</v>
      </c>
      <c r="C28" s="1" t="s">
        <v>119</v>
      </c>
      <c r="D28" s="1"/>
      <c r="E28" s="1"/>
      <c r="F28" s="1"/>
      <c r="G28" s="1"/>
      <c r="H28" s="1" t="s">
        <v>120</v>
      </c>
      <c r="I28" s="1" t="s">
        <v>121</v>
      </c>
      <c r="J28" s="1" t="s">
        <v>122</v>
      </c>
      <c r="K28" s="1" t="s">
        <v>121</v>
      </c>
      <c r="L28" s="1" t="s">
        <v>38</v>
      </c>
      <c r="M28" s="1" t="s">
        <v>123</v>
      </c>
      <c r="N28" s="1" t="s">
        <v>122</v>
      </c>
      <c r="O28" s="1" t="s">
        <v>121</v>
      </c>
      <c r="P28" s="3"/>
      <c r="Q28" s="3"/>
      <c r="R28" s="3"/>
      <c r="S28" s="3"/>
      <c r="T28" s="3"/>
      <c r="U28" s="3"/>
      <c r="V28" s="3"/>
      <c r="W28" s="3"/>
      <c r="X28" s="3"/>
    </row>
    <row r="29" spans="1:24" ht="28.5" customHeight="1" x14ac:dyDescent="0.35">
      <c r="A29" s="1" t="s">
        <v>118</v>
      </c>
      <c r="B29" s="1" t="s">
        <v>38</v>
      </c>
      <c r="C29" s="1" t="s">
        <v>124</v>
      </c>
      <c r="D29" s="1"/>
      <c r="E29" s="1"/>
      <c r="F29" s="1"/>
      <c r="G29" s="1"/>
      <c r="H29" s="1" t="s">
        <v>125</v>
      </c>
      <c r="I29" s="1" t="s">
        <v>126</v>
      </c>
      <c r="J29" s="1"/>
      <c r="K29" s="1"/>
      <c r="L29" s="1"/>
      <c r="M29" s="1"/>
      <c r="N29" s="1"/>
      <c r="O29" s="1"/>
      <c r="P29" s="3"/>
      <c r="Q29" s="3"/>
      <c r="R29" s="3"/>
      <c r="S29" s="3"/>
      <c r="T29" s="3"/>
      <c r="U29" s="3"/>
      <c r="V29" s="3"/>
      <c r="W29" s="3"/>
      <c r="X29" s="3"/>
    </row>
    <row r="30" spans="1:24" ht="28.5" customHeight="1" x14ac:dyDescent="0.35">
      <c r="A30" s="1" t="s">
        <v>118</v>
      </c>
      <c r="B30" s="1" t="s">
        <v>60</v>
      </c>
      <c r="C30" s="1" t="s">
        <v>127</v>
      </c>
      <c r="D30" s="1"/>
      <c r="E30" s="1"/>
      <c r="F30" s="1"/>
      <c r="G30" s="1"/>
      <c r="H30" s="1" t="s">
        <v>128</v>
      </c>
      <c r="I30" s="1" t="s">
        <v>129</v>
      </c>
      <c r="J30" s="1"/>
      <c r="K30" s="1"/>
      <c r="L30" s="1"/>
      <c r="M30" s="1"/>
      <c r="N30" s="1"/>
      <c r="O30" s="1"/>
      <c r="P30" s="3"/>
      <c r="Q30" s="3"/>
      <c r="R30" s="3"/>
      <c r="S30" s="3"/>
      <c r="T30" s="3"/>
      <c r="U30" s="3"/>
      <c r="V30" s="3"/>
      <c r="W30" s="3"/>
      <c r="X30" s="3"/>
    </row>
    <row r="31" spans="1:24" ht="28.5" customHeight="1" x14ac:dyDescent="0.35">
      <c r="A31" s="1" t="s">
        <v>130</v>
      </c>
      <c r="B31" s="1" t="s">
        <v>60</v>
      </c>
      <c r="C31" s="1" t="s">
        <v>131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3"/>
      <c r="Q31" s="3"/>
      <c r="R31" s="3"/>
      <c r="S31" s="3"/>
      <c r="T31" s="3"/>
      <c r="U31" s="3"/>
      <c r="V31" s="3"/>
      <c r="W31" s="3"/>
      <c r="X31" s="3"/>
    </row>
    <row r="32" spans="1:24" ht="14.5" x14ac:dyDescent="0.35">
      <c r="A32" s="1" t="s">
        <v>132</v>
      </c>
      <c r="B32" s="1" t="s">
        <v>38</v>
      </c>
      <c r="C32" s="1" t="s">
        <v>133</v>
      </c>
      <c r="D32" s="1"/>
      <c r="E32" s="1"/>
      <c r="F32" s="1"/>
      <c r="G32" s="1"/>
      <c r="H32" s="1" t="s">
        <v>33</v>
      </c>
      <c r="I32" s="1" t="s">
        <v>34</v>
      </c>
      <c r="J32" s="1" t="s">
        <v>54</v>
      </c>
      <c r="K32" s="1" t="s">
        <v>134</v>
      </c>
      <c r="L32" s="1"/>
      <c r="M32" s="1"/>
      <c r="N32" s="1"/>
      <c r="O32" s="1"/>
      <c r="P32" s="3"/>
      <c r="Q32" s="3"/>
      <c r="R32" s="3"/>
      <c r="S32" s="3"/>
      <c r="T32" s="3"/>
      <c r="U32" s="3"/>
      <c r="V32" s="3"/>
      <c r="W32" s="3"/>
      <c r="X32" s="3"/>
    </row>
    <row r="33" spans="1:24" ht="14.5" x14ac:dyDescent="0.35">
      <c r="A33" s="1" t="s">
        <v>37</v>
      </c>
      <c r="B33" s="1" t="s">
        <v>38</v>
      </c>
      <c r="C33" s="1" t="s">
        <v>135</v>
      </c>
      <c r="D33" s="1"/>
      <c r="E33" s="1"/>
      <c r="F33" s="1"/>
      <c r="G33" s="1"/>
      <c r="H33" s="1" t="s">
        <v>136</v>
      </c>
      <c r="I33" s="1" t="s">
        <v>34</v>
      </c>
      <c r="J33" s="1" t="s">
        <v>54</v>
      </c>
      <c r="K33" s="1" t="s">
        <v>137</v>
      </c>
      <c r="L33" s="1"/>
      <c r="M33" s="1"/>
      <c r="N33" s="1"/>
      <c r="O33" s="1"/>
      <c r="P33" s="3"/>
      <c r="Q33" s="3"/>
      <c r="R33" s="3"/>
      <c r="S33" s="3"/>
      <c r="T33" s="3"/>
      <c r="U33" s="3"/>
      <c r="V33" s="3"/>
      <c r="W33" s="3"/>
      <c r="X33" s="3"/>
    </row>
    <row r="34" spans="1:24" ht="28.5" customHeight="1" x14ac:dyDescent="0.35">
      <c r="A34" s="1" t="s">
        <v>75</v>
      </c>
      <c r="B34" s="1" t="s">
        <v>35</v>
      </c>
      <c r="C34" s="1" t="s">
        <v>138</v>
      </c>
      <c r="D34" s="1"/>
      <c r="E34" s="1"/>
      <c r="F34" s="1"/>
      <c r="G34" s="1"/>
      <c r="H34" s="1" t="s">
        <v>117</v>
      </c>
      <c r="I34" s="1" t="s">
        <v>110</v>
      </c>
      <c r="J34" s="1"/>
      <c r="K34" s="1"/>
      <c r="L34" s="1"/>
      <c r="M34" s="1"/>
      <c r="N34" s="1"/>
      <c r="O34" s="1"/>
      <c r="P34" s="3"/>
      <c r="Q34" s="3"/>
      <c r="R34" s="3"/>
      <c r="S34" s="3"/>
      <c r="T34" s="3"/>
      <c r="U34" s="3"/>
      <c r="V34" s="3"/>
      <c r="W34" s="3"/>
      <c r="X34" s="3"/>
    </row>
    <row r="35" spans="1:24" ht="14.5" x14ac:dyDescent="0.35">
      <c r="A35" s="1" t="s">
        <v>139</v>
      </c>
      <c r="B35" s="1" t="s">
        <v>38</v>
      </c>
      <c r="C35" s="1" t="s">
        <v>140</v>
      </c>
      <c r="D35" s="1" t="s">
        <v>38</v>
      </c>
      <c r="E35" s="1" t="s">
        <v>141</v>
      </c>
      <c r="F35" s="1"/>
      <c r="G35" s="1"/>
      <c r="H35" s="1" t="s">
        <v>78</v>
      </c>
      <c r="I35" s="1" t="s">
        <v>142</v>
      </c>
      <c r="J35" s="1"/>
      <c r="K35" s="1"/>
      <c r="L35" s="1"/>
      <c r="M35" s="1"/>
      <c r="N35" s="1"/>
      <c r="O35" s="1"/>
      <c r="P35" s="3"/>
      <c r="Q35" s="3"/>
      <c r="R35" s="3"/>
      <c r="S35" s="3"/>
      <c r="T35" s="3"/>
      <c r="U35" s="3"/>
      <c r="V35" s="3"/>
      <c r="W35" s="3"/>
      <c r="X35" s="3"/>
    </row>
    <row r="36" spans="1:24" ht="28.5" customHeight="1" x14ac:dyDescent="0.35">
      <c r="A36" s="1" t="s">
        <v>86</v>
      </c>
      <c r="B36" s="1" t="s">
        <v>143</v>
      </c>
      <c r="C36" s="1" t="s">
        <v>70</v>
      </c>
      <c r="D36" s="1"/>
      <c r="E36" s="1"/>
      <c r="F36" s="1"/>
      <c r="G36" s="1"/>
      <c r="H36" s="1" t="s">
        <v>59</v>
      </c>
      <c r="I36" s="1" t="s">
        <v>144</v>
      </c>
      <c r="J36" s="1"/>
      <c r="K36" s="1"/>
      <c r="L36" s="1"/>
      <c r="M36" s="1"/>
      <c r="N36" s="1"/>
      <c r="O36" s="1"/>
      <c r="P36" s="3"/>
      <c r="Q36" s="3"/>
      <c r="R36" s="3"/>
      <c r="S36" s="3"/>
      <c r="T36" s="3"/>
      <c r="U36" s="3"/>
      <c r="V36" s="3"/>
      <c r="W36" s="3"/>
      <c r="X36" s="3"/>
    </row>
    <row r="37" spans="1:24" ht="14.5" x14ac:dyDescent="0.35">
      <c r="A37" s="1" t="s">
        <v>30</v>
      </c>
      <c r="B37" s="1" t="s">
        <v>38</v>
      </c>
      <c r="C37" s="1" t="s">
        <v>133</v>
      </c>
      <c r="D37" s="1"/>
      <c r="E37" s="1"/>
      <c r="F37" s="1"/>
      <c r="G37" s="1"/>
      <c r="H37" s="1" t="s">
        <v>48</v>
      </c>
      <c r="I37" s="1" t="s">
        <v>114</v>
      </c>
      <c r="J37" s="1"/>
      <c r="K37" s="1"/>
      <c r="L37" s="1"/>
      <c r="M37" s="1"/>
      <c r="N37" s="1"/>
      <c r="O37" s="1"/>
      <c r="P37" s="3"/>
      <c r="Q37" s="3"/>
      <c r="R37" s="3"/>
      <c r="S37" s="3"/>
      <c r="T37" s="3"/>
      <c r="U37" s="3"/>
      <c r="V37" s="3"/>
      <c r="W37" s="3"/>
      <c r="X37" s="3"/>
    </row>
    <row r="38" spans="1:24" ht="14.5" x14ac:dyDescent="0.35">
      <c r="A38" s="1" t="s">
        <v>30</v>
      </c>
      <c r="B38" s="1" t="s">
        <v>76</v>
      </c>
      <c r="C38" s="1" t="s">
        <v>61</v>
      </c>
      <c r="D38" s="1"/>
      <c r="E38" s="1"/>
      <c r="F38" s="1"/>
      <c r="G38" s="1"/>
      <c r="H38" s="1" t="s">
        <v>145</v>
      </c>
      <c r="I38" s="1" t="s">
        <v>146</v>
      </c>
      <c r="J38" s="1"/>
      <c r="K38" s="1"/>
      <c r="L38" s="1"/>
      <c r="M38" s="1"/>
      <c r="N38" s="1"/>
      <c r="O38" s="1"/>
      <c r="P38" s="3"/>
      <c r="Q38" s="3"/>
      <c r="R38" s="3"/>
      <c r="S38" s="3"/>
      <c r="T38" s="3"/>
      <c r="U38" s="3"/>
      <c r="V38" s="3"/>
      <c r="W38" s="3"/>
      <c r="X38" s="3"/>
    </row>
    <row r="39" spans="1:24" ht="28.5" customHeight="1" x14ac:dyDescent="0.35">
      <c r="A39" s="1" t="s">
        <v>30</v>
      </c>
      <c r="B39" s="1" t="s">
        <v>69</v>
      </c>
      <c r="C39" s="1" t="s">
        <v>147</v>
      </c>
      <c r="D39" s="1"/>
      <c r="E39" s="1"/>
      <c r="F39" s="1"/>
      <c r="G39" s="1"/>
      <c r="H39" s="1" t="s">
        <v>148</v>
      </c>
      <c r="I39" s="1" t="s">
        <v>149</v>
      </c>
      <c r="J39" s="1"/>
      <c r="K39" s="1"/>
      <c r="L39" s="1"/>
      <c r="M39" s="1"/>
      <c r="N39" s="1"/>
      <c r="O39" s="1"/>
      <c r="P39" s="3"/>
      <c r="Q39" s="3"/>
      <c r="R39" s="3"/>
      <c r="S39" s="3"/>
      <c r="T39" s="3"/>
      <c r="U39" s="3"/>
      <c r="V39" s="3"/>
      <c r="W39" s="3"/>
      <c r="X39" s="3"/>
    </row>
    <row r="40" spans="1:24" ht="28.5" customHeight="1" x14ac:dyDescent="0.35">
      <c r="A40" s="1" t="s">
        <v>30</v>
      </c>
      <c r="B40" s="1" t="s">
        <v>150</v>
      </c>
      <c r="C40" s="1" t="s">
        <v>147</v>
      </c>
      <c r="D40" s="1"/>
      <c r="E40" s="1"/>
      <c r="F40" s="1"/>
      <c r="G40" s="1"/>
      <c r="H40" s="1" t="s">
        <v>148</v>
      </c>
      <c r="I40" s="1" t="s">
        <v>149</v>
      </c>
      <c r="J40" s="1"/>
      <c r="K40" s="1"/>
      <c r="L40" s="1"/>
      <c r="M40" s="1"/>
      <c r="N40" s="1"/>
      <c r="O40" s="1"/>
      <c r="P40" s="3"/>
      <c r="Q40" s="3"/>
      <c r="R40" s="3"/>
      <c r="S40" s="3"/>
      <c r="T40" s="3"/>
      <c r="U40" s="3"/>
      <c r="V40" s="3"/>
      <c r="W40" s="3"/>
      <c r="X40" s="3"/>
    </row>
    <row r="41" spans="1:24" ht="14.5" x14ac:dyDescent="0.35">
      <c r="A41" s="1" t="s">
        <v>30</v>
      </c>
      <c r="B41" s="1" t="s">
        <v>151</v>
      </c>
      <c r="C41" s="1" t="s">
        <v>152</v>
      </c>
      <c r="D41" s="1"/>
      <c r="E41" s="1"/>
      <c r="F41" s="1"/>
      <c r="G41" s="1"/>
      <c r="H41" s="1" t="s">
        <v>153</v>
      </c>
      <c r="I41" s="1" t="s">
        <v>34</v>
      </c>
      <c r="J41" s="1" t="s">
        <v>154</v>
      </c>
      <c r="K41" s="1" t="s">
        <v>34</v>
      </c>
      <c r="L41" s="1" t="s">
        <v>155</v>
      </c>
      <c r="M41" s="1" t="s">
        <v>34</v>
      </c>
      <c r="N41" s="1"/>
      <c r="O41" s="1"/>
      <c r="P41" s="3"/>
      <c r="Q41" s="3"/>
      <c r="R41" s="3"/>
      <c r="S41" s="3"/>
      <c r="T41" s="3"/>
      <c r="U41" s="3"/>
      <c r="V41" s="3"/>
      <c r="W41" s="3"/>
      <c r="X41" s="3"/>
    </row>
    <row r="42" spans="1:24" ht="14.5" x14ac:dyDescent="0.35">
      <c r="A42" s="1" t="s">
        <v>156</v>
      </c>
      <c r="B42" s="1" t="s">
        <v>157</v>
      </c>
      <c r="C42" s="1" t="s">
        <v>34</v>
      </c>
      <c r="D42" s="1"/>
      <c r="E42" s="1"/>
      <c r="F42" s="1"/>
      <c r="G42" s="1"/>
      <c r="H42" s="1" t="s">
        <v>46</v>
      </c>
      <c r="I42" s="1" t="s">
        <v>158</v>
      </c>
      <c r="J42" s="1"/>
      <c r="K42" s="1"/>
      <c r="L42" s="1"/>
      <c r="M42" s="1"/>
      <c r="N42" s="1"/>
      <c r="O42" s="1"/>
      <c r="P42" s="3"/>
      <c r="Q42" s="3"/>
      <c r="R42" s="3"/>
      <c r="S42" s="3"/>
      <c r="T42" s="3"/>
      <c r="U42" s="3"/>
      <c r="V42" s="3"/>
      <c r="W42" s="3"/>
      <c r="X42" s="3"/>
    </row>
    <row r="43" spans="1:24" ht="14.5" x14ac:dyDescent="0.35">
      <c r="A43" s="1" t="s">
        <v>159</v>
      </c>
      <c r="B43" s="1" t="s">
        <v>38</v>
      </c>
      <c r="C43" s="1" t="s">
        <v>160</v>
      </c>
      <c r="D43" s="1"/>
      <c r="E43" s="1"/>
      <c r="F43" s="1"/>
      <c r="G43" s="1"/>
      <c r="H43" s="1" t="s">
        <v>161</v>
      </c>
      <c r="I43" s="1" t="s">
        <v>162</v>
      </c>
      <c r="J43" s="1" t="s">
        <v>161</v>
      </c>
      <c r="K43" s="1" t="s">
        <v>163</v>
      </c>
      <c r="L43" s="1"/>
      <c r="M43" s="1"/>
      <c r="N43" s="1"/>
      <c r="O43" s="1"/>
      <c r="P43" s="3"/>
      <c r="Q43" s="3"/>
      <c r="R43" s="3"/>
      <c r="S43" s="3"/>
      <c r="T43" s="3"/>
      <c r="U43" s="3"/>
      <c r="V43" s="3"/>
      <c r="W43" s="3"/>
      <c r="X43" s="3"/>
    </row>
    <row r="44" spans="1:24" ht="14.5" x14ac:dyDescent="0.35">
      <c r="A44" s="1" t="s">
        <v>30</v>
      </c>
      <c r="B44" s="1" t="s">
        <v>38</v>
      </c>
      <c r="C44" s="1" t="s">
        <v>114</v>
      </c>
      <c r="D44" s="1"/>
      <c r="E44" s="1"/>
      <c r="F44" s="1"/>
      <c r="G44" s="1"/>
      <c r="H44" s="1" t="s">
        <v>54</v>
      </c>
      <c r="I44" s="1" t="s">
        <v>164</v>
      </c>
      <c r="J44" s="1"/>
      <c r="K44" s="1"/>
      <c r="L44" s="1"/>
      <c r="M44" s="1"/>
      <c r="N44" s="1"/>
      <c r="O44" s="1"/>
      <c r="P44" s="3"/>
      <c r="Q44" s="3"/>
      <c r="R44" s="3"/>
      <c r="S44" s="3"/>
      <c r="T44" s="3"/>
      <c r="U44" s="3"/>
      <c r="V44" s="3"/>
      <c r="W44" s="3"/>
      <c r="X44" s="3"/>
    </row>
    <row r="45" spans="1:24" ht="14.5" x14ac:dyDescent="0.35">
      <c r="A45" s="1" t="s">
        <v>165</v>
      </c>
      <c r="B45" s="1" t="s">
        <v>166</v>
      </c>
      <c r="C45" s="1" t="s">
        <v>167</v>
      </c>
      <c r="D45" s="1"/>
      <c r="E45" s="1"/>
      <c r="F45" s="1"/>
      <c r="G45" s="1"/>
      <c r="H45" s="1" t="s">
        <v>46</v>
      </c>
      <c r="I45" s="1" t="s">
        <v>168</v>
      </c>
      <c r="J45" s="1" t="s">
        <v>169</v>
      </c>
      <c r="K45" s="1" t="s">
        <v>168</v>
      </c>
      <c r="L45" s="1"/>
      <c r="M45" s="1"/>
      <c r="N45" s="1"/>
      <c r="O45" s="1"/>
      <c r="P45" s="3"/>
      <c r="Q45" s="3"/>
      <c r="R45" s="3"/>
      <c r="S45" s="3"/>
      <c r="T45" s="3"/>
      <c r="U45" s="3"/>
      <c r="V45" s="3"/>
      <c r="W45" s="3"/>
      <c r="X45" s="3"/>
    </row>
    <row r="46" spans="1:24" ht="28.5" customHeight="1" x14ac:dyDescent="0.35">
      <c r="A46" s="1" t="s">
        <v>170</v>
      </c>
      <c r="B46" s="1" t="s">
        <v>38</v>
      </c>
      <c r="C46" s="1" t="s">
        <v>171</v>
      </c>
      <c r="D46" s="1"/>
      <c r="E46" s="1"/>
      <c r="F46" s="1"/>
      <c r="G46" s="1"/>
      <c r="H46" s="1" t="s">
        <v>26</v>
      </c>
      <c r="I46" s="1" t="s">
        <v>172</v>
      </c>
      <c r="J46" s="1"/>
      <c r="K46" s="1"/>
      <c r="L46" s="1"/>
      <c r="M46" s="1"/>
      <c r="N46" s="1"/>
      <c r="O46" s="1"/>
      <c r="P46" s="3"/>
      <c r="Q46" s="3"/>
      <c r="R46" s="3"/>
      <c r="S46" s="3"/>
      <c r="T46" s="3"/>
      <c r="U46" s="3"/>
      <c r="V46" s="3"/>
      <c r="W46" s="3"/>
      <c r="X46" s="3"/>
    </row>
    <row r="47" spans="1:24" ht="28.5" customHeight="1" x14ac:dyDescent="0.35">
      <c r="A47" s="1" t="s">
        <v>112</v>
      </c>
      <c r="B47" s="1" t="s">
        <v>38</v>
      </c>
      <c r="C47" s="1" t="s">
        <v>171</v>
      </c>
      <c r="D47" s="1"/>
      <c r="E47" s="1"/>
      <c r="F47" s="1"/>
      <c r="G47" s="1"/>
      <c r="H47" s="1" t="s">
        <v>26</v>
      </c>
      <c r="I47" s="1" t="s">
        <v>172</v>
      </c>
      <c r="J47" s="1"/>
      <c r="K47" s="1"/>
      <c r="L47" s="1"/>
      <c r="M47" s="1"/>
      <c r="N47" s="1"/>
      <c r="O47" s="1"/>
      <c r="P47" s="3"/>
      <c r="Q47" s="3"/>
      <c r="R47" s="3"/>
      <c r="S47" s="3"/>
      <c r="T47" s="3"/>
      <c r="U47" s="3"/>
      <c r="V47" s="3"/>
      <c r="W47" s="3"/>
      <c r="X47" s="3"/>
    </row>
    <row r="48" spans="1:24" ht="43.5" customHeight="1" x14ac:dyDescent="0.35">
      <c r="A48" s="1" t="s">
        <v>173</v>
      </c>
      <c r="B48" s="1" t="s">
        <v>174</v>
      </c>
      <c r="C48" s="1" t="s">
        <v>175</v>
      </c>
      <c r="D48" s="1"/>
      <c r="E48" s="1"/>
      <c r="F48" s="1"/>
      <c r="G48" s="1"/>
      <c r="H48" s="1" t="s">
        <v>176</v>
      </c>
      <c r="I48" s="1" t="s">
        <v>177</v>
      </c>
      <c r="J48" s="1"/>
      <c r="K48" s="1"/>
      <c r="L48" s="1"/>
      <c r="M48" s="1"/>
      <c r="N48" s="1"/>
      <c r="O48" s="1"/>
      <c r="P48" s="3"/>
      <c r="Q48" s="3"/>
      <c r="R48" s="3"/>
      <c r="S48" s="3"/>
      <c r="T48" s="3"/>
      <c r="U48" s="3"/>
      <c r="V48" s="3"/>
      <c r="W48" s="3"/>
      <c r="X48" s="3"/>
    </row>
    <row r="49" spans="1:24" ht="43.5" customHeight="1" x14ac:dyDescent="0.35">
      <c r="A49" s="1" t="s">
        <v>178</v>
      </c>
      <c r="B49" s="1" t="s">
        <v>174</v>
      </c>
      <c r="C49" s="1" t="s">
        <v>175</v>
      </c>
      <c r="D49" s="1"/>
      <c r="E49" s="1"/>
      <c r="F49" s="1"/>
      <c r="G49" s="1"/>
      <c r="H49" s="1" t="s">
        <v>176</v>
      </c>
      <c r="I49" s="1" t="s">
        <v>177</v>
      </c>
      <c r="J49" s="1"/>
      <c r="K49" s="1"/>
      <c r="L49" s="1"/>
      <c r="M49" s="1"/>
      <c r="N49" s="1"/>
      <c r="O49" s="1"/>
      <c r="P49" s="3"/>
      <c r="Q49" s="3"/>
      <c r="R49" s="3"/>
      <c r="S49" s="3"/>
      <c r="T49" s="3"/>
      <c r="U49" s="3"/>
      <c r="V49" s="3"/>
      <c r="W49" s="3"/>
      <c r="X49" s="3"/>
    </row>
    <row r="50" spans="1:24" ht="14.5" x14ac:dyDescent="0.35">
      <c r="A50" s="1" t="s">
        <v>179</v>
      </c>
      <c r="B50" s="1"/>
      <c r="C50" s="1"/>
      <c r="D50" s="1"/>
      <c r="E50" s="1"/>
      <c r="F50" s="1"/>
      <c r="G50" s="1"/>
      <c r="H50" s="1" t="s">
        <v>180</v>
      </c>
      <c r="I50" s="1" t="s">
        <v>181</v>
      </c>
      <c r="J50" s="1"/>
      <c r="K50" s="1"/>
      <c r="L50" s="1"/>
      <c r="M50" s="1"/>
      <c r="N50" s="1"/>
      <c r="O50" s="1"/>
      <c r="P50" s="3"/>
      <c r="Q50" s="3"/>
      <c r="R50" s="3"/>
      <c r="S50" s="3"/>
      <c r="T50" s="3"/>
      <c r="U50" s="3"/>
      <c r="V50" s="3"/>
      <c r="W50" s="3"/>
      <c r="X50" s="3"/>
    </row>
    <row r="51" spans="1:24" ht="28.5" customHeight="1" x14ac:dyDescent="0.35">
      <c r="A51" s="1" t="s">
        <v>112</v>
      </c>
      <c r="B51" s="1" t="s">
        <v>46</v>
      </c>
      <c r="C51" s="1" t="s">
        <v>182</v>
      </c>
      <c r="D51" s="1"/>
      <c r="E51" s="1"/>
      <c r="F51" s="1"/>
      <c r="G51" s="1"/>
      <c r="H51" s="1" t="s">
        <v>183</v>
      </c>
      <c r="I51" s="1" t="s">
        <v>184</v>
      </c>
      <c r="J51" s="1" t="s">
        <v>185</v>
      </c>
      <c r="K51" s="1" t="s">
        <v>83</v>
      </c>
      <c r="L51" s="1"/>
      <c r="M51" s="1"/>
      <c r="N51" s="1"/>
      <c r="O51" s="1"/>
      <c r="P51" s="3"/>
      <c r="Q51" s="3"/>
      <c r="R51" s="3"/>
      <c r="S51" s="3"/>
      <c r="T51" s="3"/>
      <c r="U51" s="3"/>
      <c r="V51" s="3"/>
      <c r="W51" s="3"/>
      <c r="X51" s="3"/>
    </row>
    <row r="52" spans="1:24" ht="28.5" customHeight="1" x14ac:dyDescent="0.35">
      <c r="A52" s="1" t="s">
        <v>23</v>
      </c>
      <c r="B52" s="1" t="s">
        <v>54</v>
      </c>
      <c r="C52" s="1" t="s">
        <v>186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3"/>
      <c r="Q52" s="3"/>
      <c r="R52" s="3"/>
      <c r="S52" s="3"/>
      <c r="T52" s="3"/>
      <c r="U52" s="3"/>
      <c r="V52" s="3"/>
      <c r="W52" s="3"/>
      <c r="X52" s="3"/>
    </row>
    <row r="53" spans="1:24" ht="28.5" customHeight="1" x14ac:dyDescent="0.35">
      <c r="A53" s="1" t="s">
        <v>23</v>
      </c>
      <c r="B53" s="1" t="s">
        <v>38</v>
      </c>
      <c r="C53" s="1" t="s">
        <v>171</v>
      </c>
      <c r="D53" s="1"/>
      <c r="E53" s="1"/>
      <c r="F53" s="1"/>
      <c r="G53" s="1"/>
      <c r="H53" s="1" t="s">
        <v>26</v>
      </c>
      <c r="I53" s="1" t="s">
        <v>172</v>
      </c>
      <c r="J53" s="1"/>
      <c r="K53" s="1"/>
      <c r="L53" s="1"/>
      <c r="M53" s="1"/>
      <c r="N53" s="1"/>
      <c r="O53" s="1"/>
      <c r="P53" s="3"/>
      <c r="Q53" s="3"/>
      <c r="R53" s="3"/>
      <c r="S53" s="3"/>
      <c r="T53" s="3"/>
      <c r="U53" s="3"/>
      <c r="V53" s="3"/>
      <c r="W53" s="3"/>
      <c r="X53" s="3"/>
    </row>
    <row r="54" spans="1:24" ht="28.5" customHeight="1" x14ac:dyDescent="0.35">
      <c r="A54" s="1" t="s">
        <v>187</v>
      </c>
      <c r="B54" s="1" t="s">
        <v>108</v>
      </c>
      <c r="C54" s="1" t="s">
        <v>149</v>
      </c>
      <c r="D54" s="1"/>
      <c r="E54" s="1"/>
      <c r="F54" s="1"/>
      <c r="G54" s="1"/>
      <c r="H54" s="1" t="s">
        <v>188</v>
      </c>
      <c r="I54" s="1" t="s">
        <v>189</v>
      </c>
      <c r="J54" s="1" t="s">
        <v>190</v>
      </c>
      <c r="K54" s="1" t="s">
        <v>189</v>
      </c>
      <c r="L54" s="1" t="s">
        <v>191</v>
      </c>
      <c r="M54" s="1" t="s">
        <v>34</v>
      </c>
      <c r="N54" s="1"/>
      <c r="O54" s="1"/>
      <c r="P54" s="3"/>
      <c r="Q54" s="3"/>
      <c r="R54" s="3"/>
      <c r="S54" s="3"/>
      <c r="T54" s="3"/>
      <c r="U54" s="3"/>
      <c r="V54" s="3"/>
      <c r="W54" s="3"/>
      <c r="X54" s="3"/>
    </row>
    <row r="55" spans="1:24" ht="43.5" customHeight="1" x14ac:dyDescent="0.35">
      <c r="A55" s="1" t="s">
        <v>192</v>
      </c>
      <c r="B55" s="1" t="s">
        <v>193</v>
      </c>
      <c r="C55" s="1" t="s">
        <v>70</v>
      </c>
      <c r="D55" s="1"/>
      <c r="E55" s="1"/>
      <c r="F55" s="1"/>
      <c r="G55" s="1"/>
      <c r="H55" s="1" t="s">
        <v>194</v>
      </c>
      <c r="I55" s="1" t="s">
        <v>195</v>
      </c>
      <c r="J55" s="1"/>
      <c r="K55" s="1"/>
      <c r="L55" s="1"/>
      <c r="M55" s="1"/>
      <c r="N55" s="1"/>
      <c r="O55" s="1"/>
      <c r="P55" s="3"/>
      <c r="Q55" s="3"/>
      <c r="R55" s="3"/>
      <c r="S55" s="3"/>
      <c r="T55" s="3"/>
      <c r="U55" s="3"/>
      <c r="V55" s="3"/>
      <c r="W55" s="3"/>
      <c r="X55" s="3"/>
    </row>
    <row r="56" spans="1:24" ht="14.5" x14ac:dyDescent="0.35">
      <c r="A56" s="1" t="s">
        <v>30</v>
      </c>
      <c r="B56" s="1" t="s">
        <v>38</v>
      </c>
      <c r="C56" s="1" t="s">
        <v>196</v>
      </c>
      <c r="D56" s="1"/>
      <c r="E56" s="1"/>
      <c r="F56" s="1"/>
      <c r="G56" s="1"/>
      <c r="H56" s="1" t="s">
        <v>54</v>
      </c>
      <c r="I56" s="1" t="s">
        <v>197</v>
      </c>
      <c r="J56" s="1"/>
      <c r="K56" s="1"/>
      <c r="L56" s="1"/>
      <c r="M56" s="1"/>
      <c r="N56" s="1"/>
      <c r="O56" s="1"/>
      <c r="P56" s="3"/>
      <c r="Q56" s="3"/>
      <c r="R56" s="3"/>
      <c r="S56" s="3"/>
      <c r="T56" s="3"/>
      <c r="U56" s="3"/>
      <c r="V56" s="3"/>
      <c r="W56" s="3"/>
      <c r="X56" s="3"/>
    </row>
    <row r="57" spans="1:24" ht="14.5" x14ac:dyDescent="0.35">
      <c r="A57" s="1" t="s">
        <v>23</v>
      </c>
      <c r="B57" s="1" t="s">
        <v>38</v>
      </c>
      <c r="C57" s="1" t="s">
        <v>81</v>
      </c>
      <c r="D57" s="1"/>
      <c r="E57" s="1"/>
      <c r="F57" s="1"/>
      <c r="G57" s="1"/>
      <c r="H57" s="1" t="s">
        <v>38</v>
      </c>
      <c r="I57" s="1" t="s">
        <v>198</v>
      </c>
      <c r="J57" s="1"/>
      <c r="K57" s="1"/>
      <c r="L57" s="1"/>
      <c r="M57" s="1"/>
      <c r="N57" s="1"/>
      <c r="O57" s="1"/>
      <c r="P57" s="3"/>
      <c r="Q57" s="3"/>
      <c r="R57" s="3"/>
      <c r="S57" s="3"/>
      <c r="T57" s="3"/>
      <c r="U57" s="3"/>
      <c r="V57" s="3"/>
      <c r="W57" s="3"/>
      <c r="X57" s="3"/>
    </row>
    <row r="58" spans="1:24" ht="28.5" customHeight="1" x14ac:dyDescent="0.35">
      <c r="A58" s="1" t="s">
        <v>37</v>
      </c>
      <c r="B58" s="1" t="s">
        <v>60</v>
      </c>
      <c r="C58" s="1" t="s">
        <v>127</v>
      </c>
      <c r="D58" s="1" t="s">
        <v>60</v>
      </c>
      <c r="E58" s="1" t="s">
        <v>199</v>
      </c>
      <c r="F58" s="1"/>
      <c r="G58" s="1"/>
      <c r="H58" s="1" t="s">
        <v>200</v>
      </c>
      <c r="I58" s="1" t="s">
        <v>34</v>
      </c>
      <c r="J58" s="1" t="s">
        <v>201</v>
      </c>
      <c r="K58" s="1" t="s">
        <v>34</v>
      </c>
      <c r="L58" s="1"/>
      <c r="M58" s="1"/>
      <c r="N58" s="1"/>
      <c r="O58" s="1"/>
      <c r="P58" s="3"/>
      <c r="Q58" s="3"/>
      <c r="R58" s="3"/>
      <c r="S58" s="3"/>
      <c r="T58" s="3"/>
      <c r="U58" s="3"/>
      <c r="V58" s="3"/>
      <c r="W58" s="3"/>
      <c r="X58" s="3"/>
    </row>
    <row r="59" spans="1:24" ht="28.5" customHeight="1" x14ac:dyDescent="0.35">
      <c r="A59" s="1" t="s">
        <v>86</v>
      </c>
      <c r="B59" s="1"/>
      <c r="C59" s="1"/>
      <c r="D59" s="1"/>
      <c r="E59" s="1"/>
      <c r="F59" s="1"/>
      <c r="G59" s="1"/>
      <c r="H59" s="1" t="s">
        <v>202</v>
      </c>
      <c r="I59" s="1" t="s">
        <v>203</v>
      </c>
      <c r="J59" s="1"/>
      <c r="K59" s="1"/>
      <c r="L59" s="1"/>
      <c r="M59" s="1"/>
      <c r="N59" s="1"/>
      <c r="O59" s="1"/>
      <c r="P59" s="3"/>
      <c r="Q59" s="3"/>
      <c r="R59" s="3"/>
      <c r="S59" s="3"/>
      <c r="T59" s="3"/>
      <c r="U59" s="3"/>
      <c r="V59" s="3"/>
      <c r="W59" s="3"/>
      <c r="X59" s="3"/>
    </row>
    <row r="60" spans="1:24" ht="28.5" customHeight="1" x14ac:dyDescent="0.35">
      <c r="A60" s="1" t="s">
        <v>37</v>
      </c>
      <c r="B60" s="1" t="s">
        <v>38</v>
      </c>
      <c r="C60" s="1" t="s">
        <v>89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3"/>
      <c r="Q60" s="3"/>
      <c r="R60" s="3"/>
      <c r="S60" s="3"/>
      <c r="T60" s="3"/>
      <c r="U60" s="3"/>
      <c r="V60" s="3"/>
      <c r="W60" s="3"/>
      <c r="X60" s="3"/>
    </row>
    <row r="61" spans="1:24" ht="28.5" customHeight="1" x14ac:dyDescent="0.35">
      <c r="A61" s="1" t="s">
        <v>56</v>
      </c>
      <c r="B61" s="1" t="s">
        <v>38</v>
      </c>
      <c r="C61" s="1" t="s">
        <v>89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24" ht="28.5" customHeight="1" x14ac:dyDescent="0.35">
      <c r="A62" s="1" t="s">
        <v>56</v>
      </c>
      <c r="B62" s="1" t="s">
        <v>38</v>
      </c>
      <c r="C62" s="1" t="s">
        <v>39</v>
      </c>
      <c r="D62" s="1"/>
      <c r="E62" s="1"/>
      <c r="F62" s="1"/>
      <c r="G62" s="1"/>
      <c r="H62" s="1" t="s">
        <v>40</v>
      </c>
      <c r="I62" s="1" t="s">
        <v>34</v>
      </c>
      <c r="J62" s="1" t="s">
        <v>90</v>
      </c>
      <c r="K62" s="1" t="s">
        <v>204</v>
      </c>
      <c r="L62" s="1" t="s">
        <v>90</v>
      </c>
      <c r="M62" s="1" t="s">
        <v>92</v>
      </c>
      <c r="N62" s="1"/>
      <c r="O62" s="1"/>
    </row>
    <row r="63" spans="1:24" ht="14.5" x14ac:dyDescent="0.35">
      <c r="A63" s="1" t="s">
        <v>37</v>
      </c>
      <c r="B63" s="1"/>
      <c r="C63" s="1"/>
      <c r="D63" s="1"/>
      <c r="E63" s="1"/>
      <c r="F63" s="1"/>
      <c r="G63" s="1"/>
      <c r="H63" s="1" t="s">
        <v>205</v>
      </c>
      <c r="I63" s="1" t="s">
        <v>206</v>
      </c>
      <c r="J63" s="1"/>
      <c r="K63" s="1"/>
      <c r="L63" s="1"/>
      <c r="M63" s="1"/>
      <c r="N63" s="1"/>
      <c r="O63" s="1"/>
    </row>
    <row r="64" spans="1:24" ht="43.5" customHeight="1" x14ac:dyDescent="0.35">
      <c r="A64" s="1" t="s">
        <v>56</v>
      </c>
      <c r="B64" s="1" t="s">
        <v>38</v>
      </c>
      <c r="C64" s="1" t="s">
        <v>207</v>
      </c>
      <c r="D64" s="1"/>
      <c r="E64" s="1"/>
      <c r="F64" s="1"/>
      <c r="G64" s="1"/>
      <c r="H64" s="1" t="s">
        <v>90</v>
      </c>
      <c r="I64" s="1" t="s">
        <v>208</v>
      </c>
      <c r="J64" s="1" t="s">
        <v>90</v>
      </c>
      <c r="K64" s="1" t="s">
        <v>92</v>
      </c>
      <c r="L64" s="1"/>
      <c r="M64" s="1"/>
      <c r="N64" s="1"/>
      <c r="O64" s="1"/>
    </row>
    <row r="65" spans="1:15" ht="28.5" customHeight="1" x14ac:dyDescent="0.35">
      <c r="A65" s="1" t="s">
        <v>56</v>
      </c>
      <c r="B65" s="1" t="s">
        <v>38</v>
      </c>
      <c r="C65" s="1" t="s">
        <v>209</v>
      </c>
      <c r="D65" s="1" t="s">
        <v>38</v>
      </c>
      <c r="E65" s="1" t="s">
        <v>210</v>
      </c>
      <c r="F65" s="1"/>
      <c r="G65" s="1"/>
      <c r="H65" s="1" t="s">
        <v>211</v>
      </c>
      <c r="I65" s="1" t="s">
        <v>34</v>
      </c>
      <c r="J65" s="1" t="s">
        <v>40</v>
      </c>
      <c r="K65" s="1" t="s">
        <v>34</v>
      </c>
      <c r="L65" s="1" t="s">
        <v>90</v>
      </c>
      <c r="M65" s="1" t="s">
        <v>208</v>
      </c>
      <c r="N65" s="1" t="s">
        <v>90</v>
      </c>
      <c r="O65" s="1" t="s">
        <v>92</v>
      </c>
    </row>
    <row r="66" spans="1:15" ht="14.5" x14ac:dyDescent="0.35">
      <c r="A66" s="1" t="s">
        <v>37</v>
      </c>
      <c r="B66" s="1" t="s">
        <v>38</v>
      </c>
      <c r="C66" s="1" t="s">
        <v>70</v>
      </c>
      <c r="D66" s="1"/>
      <c r="E66" s="1"/>
      <c r="F66" s="1"/>
      <c r="G66" s="1"/>
      <c r="H66" s="1" t="s">
        <v>212</v>
      </c>
      <c r="I66" s="1" t="s">
        <v>34</v>
      </c>
      <c r="J66" s="1" t="s">
        <v>213</v>
      </c>
      <c r="K66" s="1" t="s">
        <v>34</v>
      </c>
      <c r="L66" s="1"/>
      <c r="M66" s="1"/>
      <c r="N66" s="1"/>
      <c r="O66" s="1"/>
    </row>
    <row r="67" spans="1:15" ht="28.5" customHeight="1" x14ac:dyDescent="0.35">
      <c r="A67" s="1" t="s">
        <v>37</v>
      </c>
      <c r="B67" s="1" t="s">
        <v>38</v>
      </c>
      <c r="C67" s="1" t="s">
        <v>207</v>
      </c>
      <c r="D67" s="1"/>
      <c r="E67" s="1"/>
      <c r="F67" s="1"/>
      <c r="G67" s="1"/>
      <c r="H67" s="1" t="s">
        <v>38</v>
      </c>
      <c r="I67" s="1" t="s">
        <v>210</v>
      </c>
      <c r="J67" s="1" t="s">
        <v>38</v>
      </c>
      <c r="K67" s="1" t="s">
        <v>214</v>
      </c>
      <c r="L67" s="1" t="s">
        <v>215</v>
      </c>
      <c r="M67" s="1" t="s">
        <v>34</v>
      </c>
      <c r="N67" s="1"/>
      <c r="O67" s="1"/>
    </row>
    <row r="68" spans="1:15" ht="28.5" customHeight="1" x14ac:dyDescent="0.35">
      <c r="A68" s="1" t="s">
        <v>37</v>
      </c>
      <c r="B68" s="1"/>
      <c r="C68" s="1"/>
      <c r="D68" s="1"/>
      <c r="E68" s="1"/>
      <c r="F68" s="1"/>
      <c r="G68" s="1"/>
      <c r="H68" s="1" t="s">
        <v>216</v>
      </c>
      <c r="I68" s="1" t="s">
        <v>34</v>
      </c>
      <c r="J68" s="1" t="s">
        <v>90</v>
      </c>
      <c r="K68" s="1" t="s">
        <v>39</v>
      </c>
      <c r="L68" s="1" t="s">
        <v>33</v>
      </c>
      <c r="M68" s="1" t="s">
        <v>34</v>
      </c>
      <c r="N68" s="1"/>
      <c r="O68" s="1"/>
    </row>
    <row r="69" spans="1:15" ht="28.5" customHeight="1" x14ac:dyDescent="0.35">
      <c r="A69" s="1" t="s">
        <v>37</v>
      </c>
      <c r="B69" s="1" t="s">
        <v>38</v>
      </c>
      <c r="C69" s="1" t="s">
        <v>209</v>
      </c>
      <c r="D69" s="1" t="s">
        <v>38</v>
      </c>
      <c r="E69" s="1" t="s">
        <v>210</v>
      </c>
      <c r="F69" s="1" t="s">
        <v>38</v>
      </c>
      <c r="G69" s="1" t="s">
        <v>210</v>
      </c>
      <c r="H69" s="1" t="s">
        <v>211</v>
      </c>
      <c r="I69" s="1" t="s">
        <v>34</v>
      </c>
      <c r="J69" s="1" t="s">
        <v>40</v>
      </c>
      <c r="K69" s="1" t="s">
        <v>34</v>
      </c>
      <c r="L69" s="1" t="s">
        <v>38</v>
      </c>
      <c r="M69" s="1" t="s">
        <v>214</v>
      </c>
      <c r="N69" s="1" t="s">
        <v>217</v>
      </c>
      <c r="O69" s="1" t="s">
        <v>34</v>
      </c>
    </row>
    <row r="70" spans="1:15" ht="14.5" x14ac:dyDescent="0.35">
      <c r="A70" s="1" t="s">
        <v>218</v>
      </c>
      <c r="B70" s="1"/>
      <c r="C70" s="1"/>
      <c r="D70" s="1"/>
      <c r="E70" s="1"/>
      <c r="F70" s="1"/>
      <c r="G70" s="1"/>
      <c r="H70" s="1" t="s">
        <v>219</v>
      </c>
      <c r="I70" s="1" t="s">
        <v>220</v>
      </c>
      <c r="J70" s="1"/>
      <c r="K70" s="1"/>
      <c r="L70" s="1"/>
      <c r="M70" s="1"/>
      <c r="N70" s="1"/>
      <c r="O70" s="1"/>
    </row>
    <row r="71" spans="1:15" ht="14.5" x14ac:dyDescent="0.35">
      <c r="A71" s="1" t="s">
        <v>80</v>
      </c>
      <c r="B71" s="1" t="s">
        <v>46</v>
      </c>
      <c r="C71" s="1" t="s">
        <v>220</v>
      </c>
      <c r="D71" s="1"/>
      <c r="E71" s="1"/>
      <c r="F71" s="1"/>
      <c r="G71" s="1"/>
      <c r="H71" s="1" t="s">
        <v>221</v>
      </c>
      <c r="I71" s="1" t="s">
        <v>222</v>
      </c>
      <c r="J71" s="1"/>
      <c r="K71" s="1"/>
      <c r="L71" s="1"/>
      <c r="M71" s="1"/>
      <c r="N71" s="1"/>
      <c r="O71" s="1"/>
    </row>
    <row r="72" spans="1:15" ht="28.5" customHeight="1" x14ac:dyDescent="0.35">
      <c r="A72" s="1" t="s">
        <v>37</v>
      </c>
      <c r="B72" s="1" t="s">
        <v>38</v>
      </c>
      <c r="C72" s="1" t="s">
        <v>57</v>
      </c>
      <c r="D72" s="1"/>
      <c r="E72" s="1"/>
      <c r="F72" s="1"/>
      <c r="G72" s="1"/>
      <c r="H72" s="1" t="s">
        <v>223</v>
      </c>
      <c r="I72" s="1" t="s">
        <v>34</v>
      </c>
      <c r="J72" s="1"/>
      <c r="K72" s="1"/>
      <c r="L72" s="1"/>
      <c r="M72" s="1"/>
      <c r="N72" s="1"/>
      <c r="O72" s="1"/>
    </row>
    <row r="73" spans="1:15" ht="14.5" x14ac:dyDescent="0.35">
      <c r="A73" s="1" t="s">
        <v>224</v>
      </c>
      <c r="B73" s="1" t="s">
        <v>76</v>
      </c>
      <c r="C73" s="1" t="s">
        <v>225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28.5" customHeight="1" x14ac:dyDescent="0.35">
      <c r="A74" s="1" t="s">
        <v>226</v>
      </c>
      <c r="B74" s="1" t="s">
        <v>38</v>
      </c>
      <c r="C74" s="1" t="s">
        <v>227</v>
      </c>
      <c r="D74" s="1" t="s">
        <v>38</v>
      </c>
      <c r="E74" s="1" t="s">
        <v>57</v>
      </c>
      <c r="F74" s="1"/>
      <c r="G74" s="1"/>
      <c r="H74" s="1" t="s">
        <v>54</v>
      </c>
      <c r="I74" s="1" t="s">
        <v>228</v>
      </c>
      <c r="J74" s="1" t="s">
        <v>54</v>
      </c>
      <c r="K74" s="1" t="s">
        <v>229</v>
      </c>
      <c r="L74" s="1"/>
      <c r="M74" s="1"/>
      <c r="N74" s="1"/>
      <c r="O74" s="1"/>
    </row>
    <row r="75" spans="1:15" ht="28.5" customHeight="1" x14ac:dyDescent="0.35">
      <c r="A75" s="1" t="s">
        <v>30</v>
      </c>
      <c r="B75" s="1" t="s">
        <v>230</v>
      </c>
      <c r="C75" s="1" t="s">
        <v>231</v>
      </c>
      <c r="D75" s="1"/>
      <c r="E75" s="1"/>
      <c r="F75" s="1"/>
      <c r="G75" s="1"/>
      <c r="H75" s="1" t="s">
        <v>232</v>
      </c>
      <c r="I75" s="1" t="s">
        <v>233</v>
      </c>
      <c r="J75" s="1"/>
      <c r="K75" s="1"/>
      <c r="L75" s="1"/>
      <c r="M75" s="1"/>
      <c r="N75" s="1"/>
      <c r="O75" s="1"/>
    </row>
    <row r="76" spans="1:15" ht="28.5" customHeight="1" x14ac:dyDescent="0.35">
      <c r="A76" s="1" t="s">
        <v>30</v>
      </c>
      <c r="B76" s="1" t="s">
        <v>230</v>
      </c>
      <c r="C76" s="1" t="s">
        <v>231</v>
      </c>
      <c r="D76" s="1"/>
      <c r="E76" s="1"/>
      <c r="F76" s="1"/>
      <c r="G76" s="1"/>
      <c r="H76" s="1" t="s">
        <v>232</v>
      </c>
      <c r="I76" s="1" t="s">
        <v>233</v>
      </c>
      <c r="J76" s="1" t="s">
        <v>234</v>
      </c>
      <c r="K76" s="1" t="s">
        <v>235</v>
      </c>
      <c r="L76" s="1"/>
      <c r="M76" s="1"/>
      <c r="N76" s="1"/>
      <c r="O76" s="1"/>
    </row>
    <row r="77" spans="1:15" ht="28.5" customHeight="1" x14ac:dyDescent="0.35">
      <c r="A77" s="1" t="s">
        <v>30</v>
      </c>
      <c r="B77" s="1" t="s">
        <v>230</v>
      </c>
      <c r="C77" s="1" t="s">
        <v>231</v>
      </c>
      <c r="D77" s="1"/>
      <c r="E77" s="1"/>
      <c r="F77" s="1"/>
      <c r="G77" s="1"/>
      <c r="H77" s="1" t="s">
        <v>232</v>
      </c>
      <c r="I77" s="1" t="s">
        <v>233</v>
      </c>
      <c r="J77" s="1" t="s">
        <v>234</v>
      </c>
      <c r="K77" s="1" t="s">
        <v>236</v>
      </c>
      <c r="L77" s="1"/>
      <c r="M77" s="1"/>
      <c r="N77" s="1"/>
      <c r="O77" s="1"/>
    </row>
    <row r="78" spans="1:15" ht="28.5" customHeight="1" x14ac:dyDescent="0.35">
      <c r="A78" s="1" t="s">
        <v>237</v>
      </c>
      <c r="B78" s="1" t="s">
        <v>230</v>
      </c>
      <c r="C78" s="1" t="s">
        <v>231</v>
      </c>
      <c r="D78" s="1"/>
      <c r="E78" s="1"/>
      <c r="F78" s="1"/>
      <c r="G78" s="1"/>
      <c r="H78" s="1" t="s">
        <v>26</v>
      </c>
      <c r="I78" s="1" t="s">
        <v>238</v>
      </c>
      <c r="J78" s="1" t="s">
        <v>43</v>
      </c>
      <c r="K78" s="1" t="s">
        <v>83</v>
      </c>
      <c r="L78" s="1"/>
      <c r="M78" s="1"/>
      <c r="N78" s="1"/>
      <c r="O78" s="1"/>
    </row>
    <row r="79" spans="1:15" ht="28.5" customHeight="1" x14ac:dyDescent="0.35">
      <c r="A79" s="1" t="s">
        <v>237</v>
      </c>
      <c r="B79" s="1" t="s">
        <v>230</v>
      </c>
      <c r="C79" s="1" t="s">
        <v>231</v>
      </c>
      <c r="D79" s="1"/>
      <c r="E79" s="1"/>
      <c r="F79" s="1"/>
      <c r="G79" s="1"/>
      <c r="H79" s="1" t="s">
        <v>26</v>
      </c>
      <c r="I79" s="1" t="s">
        <v>238</v>
      </c>
      <c r="J79" s="1" t="s">
        <v>43</v>
      </c>
      <c r="K79" s="1" t="s">
        <v>83</v>
      </c>
      <c r="L79" s="1"/>
      <c r="M79" s="1"/>
      <c r="N79" s="1"/>
      <c r="O79" s="1"/>
    </row>
    <row r="80" spans="1:15" ht="14.5" x14ac:dyDescent="0.35">
      <c r="A80" s="1" t="s">
        <v>237</v>
      </c>
      <c r="B80" s="1" t="s">
        <v>230</v>
      </c>
      <c r="C80" s="1" t="s">
        <v>231</v>
      </c>
      <c r="D80" s="1"/>
      <c r="E80" s="1"/>
      <c r="F80" s="1"/>
      <c r="G80" s="1"/>
      <c r="H80" s="1" t="s">
        <v>43</v>
      </c>
      <c r="I80" s="1" t="s">
        <v>83</v>
      </c>
      <c r="J80" s="1" t="s">
        <v>26</v>
      </c>
      <c r="K80" s="1" t="s">
        <v>238</v>
      </c>
      <c r="L80" s="1"/>
      <c r="M80" s="1"/>
      <c r="N80" s="1"/>
      <c r="O80" s="1"/>
    </row>
    <row r="81" spans="1:15" ht="28.5" customHeight="1" x14ac:dyDescent="0.35">
      <c r="A81" s="1" t="s">
        <v>37</v>
      </c>
      <c r="B81" s="1" t="s">
        <v>239</v>
      </c>
      <c r="C81" s="1" t="s">
        <v>240</v>
      </c>
      <c r="D81" s="1"/>
      <c r="E81" s="1"/>
      <c r="F81" s="1"/>
      <c r="G81" s="1"/>
      <c r="H81" s="1" t="s">
        <v>213</v>
      </c>
      <c r="I81" s="1" t="s">
        <v>34</v>
      </c>
      <c r="J81" s="1" t="s">
        <v>143</v>
      </c>
      <c r="K81" s="1" t="s">
        <v>34</v>
      </c>
      <c r="L81" s="1"/>
      <c r="M81" s="1"/>
      <c r="N81" s="1"/>
      <c r="O81" s="1"/>
    </row>
    <row r="82" spans="1:15" ht="28.5" customHeight="1" x14ac:dyDescent="0.35">
      <c r="A82" s="1" t="s">
        <v>30</v>
      </c>
      <c r="B82" s="1" t="s">
        <v>69</v>
      </c>
      <c r="C82" s="1" t="s">
        <v>241</v>
      </c>
      <c r="D82" s="1"/>
      <c r="E82" s="1"/>
      <c r="F82" s="1"/>
      <c r="G82" s="1"/>
      <c r="H82" s="1" t="s">
        <v>232</v>
      </c>
      <c r="I82" s="1" t="s">
        <v>242</v>
      </c>
      <c r="J82" s="1" t="s">
        <v>215</v>
      </c>
      <c r="K82" s="1" t="s">
        <v>34</v>
      </c>
      <c r="L82" s="1" t="s">
        <v>176</v>
      </c>
      <c r="M82" s="1" t="s">
        <v>243</v>
      </c>
      <c r="N82" s="1"/>
      <c r="O82" s="1"/>
    </row>
    <row r="83" spans="1:15" ht="28.5" customHeight="1" x14ac:dyDescent="0.35">
      <c r="A83" s="1" t="s">
        <v>37</v>
      </c>
      <c r="B83" s="1" t="s">
        <v>54</v>
      </c>
      <c r="C83" s="1" t="s">
        <v>244</v>
      </c>
      <c r="D83" s="1"/>
      <c r="E83" s="1"/>
      <c r="F83" s="1"/>
      <c r="G83" s="1"/>
      <c r="H83" s="1" t="s">
        <v>245</v>
      </c>
      <c r="I83" s="1" t="s">
        <v>164</v>
      </c>
      <c r="J83" s="1" t="s">
        <v>246</v>
      </c>
      <c r="K83" s="1" t="s">
        <v>247</v>
      </c>
      <c r="L83" s="1" t="s">
        <v>248</v>
      </c>
      <c r="M83" s="1" t="s">
        <v>227</v>
      </c>
      <c r="N83" s="1"/>
      <c r="O83" s="1"/>
    </row>
    <row r="84" spans="1:15" ht="28.5" customHeight="1" x14ac:dyDescent="0.35">
      <c r="A84" s="1" t="s">
        <v>165</v>
      </c>
      <c r="B84" s="1" t="s">
        <v>60</v>
      </c>
      <c r="C84" s="1" t="s">
        <v>36</v>
      </c>
      <c r="D84" s="1"/>
      <c r="E84" s="1"/>
      <c r="F84" s="1"/>
      <c r="G84" s="1"/>
      <c r="H84" s="1" t="s">
        <v>249</v>
      </c>
      <c r="I84" s="1" t="s">
        <v>250</v>
      </c>
      <c r="J84" s="1"/>
      <c r="K84" s="1"/>
      <c r="L84" s="1"/>
      <c r="M84" s="1"/>
      <c r="N84" s="1"/>
      <c r="O84" s="1"/>
    </row>
    <row r="85" spans="1:15" ht="14.5" x14ac:dyDescent="0.35">
      <c r="A85" s="1" t="s">
        <v>37</v>
      </c>
      <c r="B85" s="1"/>
      <c r="C85" s="1"/>
      <c r="D85" s="1"/>
      <c r="E85" s="1"/>
      <c r="F85" s="1"/>
      <c r="G85" s="1"/>
      <c r="H85" s="1" t="s">
        <v>251</v>
      </c>
      <c r="I85" s="1" t="s">
        <v>110</v>
      </c>
      <c r="J85" s="1" t="s">
        <v>252</v>
      </c>
      <c r="K85" s="1" t="s">
        <v>253</v>
      </c>
      <c r="L85" s="1"/>
      <c r="M85" s="1"/>
      <c r="N85" s="1"/>
      <c r="O85" s="1"/>
    </row>
  </sheetData>
  <mergeCells count="3">
    <mergeCell ref="A1:B1"/>
    <mergeCell ref="C1:J1"/>
    <mergeCell ref="K1:X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G211"/>
  <sheetViews>
    <sheetView zoomScale="190" zoomScaleNormal="190" workbookViewId="0">
      <pane ySplit="1" topLeftCell="A2" activePane="bottomLeft" state="frozen"/>
      <selection pane="bottomLeft" activeCell="C178" sqref="C178"/>
    </sheetView>
  </sheetViews>
  <sheetFormatPr defaultColWidth="8.7265625" defaultRowHeight="14.25" customHeight="1" x14ac:dyDescent="0.35"/>
  <cols>
    <col min="1" max="2" width="16.453125" customWidth="1"/>
    <col min="3" max="3" width="16" customWidth="1"/>
    <col min="4" max="4" width="23.54296875" customWidth="1"/>
    <col min="5" max="6" width="13.6328125" customWidth="1"/>
    <col min="7" max="7" width="7.90625" customWidth="1"/>
    <col min="8" max="9" width="14.54296875" customWidth="1"/>
  </cols>
  <sheetData>
    <row r="1" spans="1:7" ht="14.5" x14ac:dyDescent="0.35">
      <c r="A1" s="4" t="s">
        <v>254</v>
      </c>
      <c r="B1" s="2" t="s">
        <v>255</v>
      </c>
      <c r="C1" s="2" t="s">
        <v>256</v>
      </c>
      <c r="D1" s="2" t="s">
        <v>8</v>
      </c>
      <c r="E1" s="2" t="s">
        <v>257</v>
      </c>
      <c r="F1" s="2" t="s">
        <v>258</v>
      </c>
      <c r="G1" s="2" t="s">
        <v>259</v>
      </c>
    </row>
    <row r="2" spans="1:7" ht="14.5" x14ac:dyDescent="0.35">
      <c r="A2" s="5">
        <v>1</v>
      </c>
      <c r="B2" s="5" t="s">
        <v>260</v>
      </c>
      <c r="C2" s="5" t="s">
        <v>261</v>
      </c>
      <c r="D2" s="5" t="s">
        <v>262</v>
      </c>
      <c r="E2" s="5" t="s">
        <v>24</v>
      </c>
      <c r="F2" s="5" t="s">
        <v>25</v>
      </c>
      <c r="G2" s="5" t="s">
        <v>263</v>
      </c>
    </row>
    <row r="3" spans="1:7" ht="14.5" hidden="1" x14ac:dyDescent="0.35">
      <c r="A3" s="5">
        <v>1</v>
      </c>
      <c r="B3" s="5" t="s">
        <v>264</v>
      </c>
      <c r="C3" s="5" t="s">
        <v>265</v>
      </c>
      <c r="D3" s="5" t="s">
        <v>262</v>
      </c>
      <c r="E3" s="5" t="s">
        <v>26</v>
      </c>
      <c r="F3" s="5" t="s">
        <v>27</v>
      </c>
      <c r="G3" s="5" t="s">
        <v>266</v>
      </c>
    </row>
    <row r="4" spans="1:7" ht="14.5" hidden="1" x14ac:dyDescent="0.35">
      <c r="A4" s="5">
        <v>1</v>
      </c>
      <c r="B4" s="5" t="s">
        <v>267</v>
      </c>
      <c r="C4" s="5" t="s">
        <v>265</v>
      </c>
      <c r="D4" s="5" t="s">
        <v>262</v>
      </c>
      <c r="E4" s="5" t="s">
        <v>268</v>
      </c>
      <c r="F4" s="5" t="s">
        <v>29</v>
      </c>
      <c r="G4" s="5" t="s">
        <v>266</v>
      </c>
    </row>
    <row r="5" spans="1:7" ht="14.5" x14ac:dyDescent="0.35">
      <c r="A5" s="5">
        <v>2</v>
      </c>
      <c r="B5" s="5" t="s">
        <v>269</v>
      </c>
      <c r="C5" s="5" t="s">
        <v>270</v>
      </c>
      <c r="D5" s="5" t="s">
        <v>30</v>
      </c>
      <c r="E5" s="5" t="s">
        <v>31</v>
      </c>
      <c r="F5" s="5" t="s">
        <v>32</v>
      </c>
      <c r="G5" s="5" t="s">
        <v>263</v>
      </c>
    </row>
    <row r="6" spans="1:7" ht="14.5" x14ac:dyDescent="0.35">
      <c r="A6" s="5">
        <v>2</v>
      </c>
      <c r="B6" s="5" t="s">
        <v>271</v>
      </c>
      <c r="C6" s="5" t="s">
        <v>270</v>
      </c>
      <c r="D6" s="5" t="s">
        <v>30</v>
      </c>
      <c r="E6" s="5" t="s">
        <v>31</v>
      </c>
      <c r="F6" s="5" t="s">
        <v>32</v>
      </c>
      <c r="G6" s="5" t="s">
        <v>263</v>
      </c>
    </row>
    <row r="7" spans="1:7" ht="14.5" hidden="1" x14ac:dyDescent="0.35">
      <c r="A7" s="5">
        <v>2</v>
      </c>
      <c r="B7" s="5" t="s">
        <v>272</v>
      </c>
      <c r="C7" s="5" t="s">
        <v>273</v>
      </c>
      <c r="D7" s="5" t="s">
        <v>30</v>
      </c>
      <c r="E7" s="5" t="s">
        <v>151</v>
      </c>
      <c r="F7" s="5" t="s">
        <v>274</v>
      </c>
      <c r="G7" s="5" t="s">
        <v>266</v>
      </c>
    </row>
    <row r="8" spans="1:7" ht="14.5" x14ac:dyDescent="0.35">
      <c r="A8" s="5">
        <v>3</v>
      </c>
      <c r="B8" s="5" t="s">
        <v>275</v>
      </c>
      <c r="C8" s="5" t="s">
        <v>276</v>
      </c>
      <c r="D8" s="5" t="s">
        <v>30</v>
      </c>
      <c r="E8" s="5" t="s">
        <v>35</v>
      </c>
      <c r="F8" s="5" t="s">
        <v>36</v>
      </c>
      <c r="G8" s="5" t="s">
        <v>263</v>
      </c>
    </row>
    <row r="9" spans="1:7" ht="14.5" x14ac:dyDescent="0.35">
      <c r="A9" s="5">
        <v>4</v>
      </c>
      <c r="B9" s="5" t="s">
        <v>277</v>
      </c>
      <c r="C9" s="5" t="s">
        <v>278</v>
      </c>
      <c r="D9" s="5" t="s">
        <v>37</v>
      </c>
      <c r="E9" s="5" t="s">
        <v>38</v>
      </c>
      <c r="F9" s="5" t="s">
        <v>39</v>
      </c>
      <c r="G9" s="5" t="s">
        <v>263</v>
      </c>
    </row>
    <row r="10" spans="1:7" ht="14.5" hidden="1" x14ac:dyDescent="0.35">
      <c r="A10" s="5">
        <v>4</v>
      </c>
      <c r="B10" s="5" t="s">
        <v>279</v>
      </c>
      <c r="C10" s="5" t="s">
        <v>280</v>
      </c>
      <c r="D10" s="5" t="s">
        <v>37</v>
      </c>
      <c r="E10" s="5" t="s">
        <v>215</v>
      </c>
      <c r="F10" s="5" t="s">
        <v>274</v>
      </c>
      <c r="G10" s="5" t="s">
        <v>266</v>
      </c>
    </row>
    <row r="11" spans="1:7" ht="14.5" hidden="1" x14ac:dyDescent="0.35">
      <c r="A11" s="5">
        <v>4</v>
      </c>
      <c r="B11" s="5" t="s">
        <v>281</v>
      </c>
      <c r="C11" s="5" t="s">
        <v>280</v>
      </c>
      <c r="D11" s="5" t="s">
        <v>37</v>
      </c>
      <c r="E11" s="5" t="s">
        <v>41</v>
      </c>
      <c r="F11" s="5" t="s">
        <v>42</v>
      </c>
      <c r="G11" s="5" t="s">
        <v>266</v>
      </c>
    </row>
    <row r="12" spans="1:7" ht="14.5" hidden="1" x14ac:dyDescent="0.35">
      <c r="A12" s="5">
        <v>4</v>
      </c>
      <c r="B12" s="5" t="s">
        <v>282</v>
      </c>
      <c r="C12" s="5" t="s">
        <v>280</v>
      </c>
      <c r="D12" s="5" t="s">
        <v>37</v>
      </c>
      <c r="E12" s="5" t="s">
        <v>43</v>
      </c>
      <c r="F12" s="5" t="s">
        <v>283</v>
      </c>
      <c r="G12" s="5" t="s">
        <v>266</v>
      </c>
    </row>
    <row r="13" spans="1:7" ht="14.5" x14ac:dyDescent="0.35">
      <c r="A13" s="5">
        <v>5</v>
      </c>
      <c r="B13" s="5" t="s">
        <v>284</v>
      </c>
      <c r="C13" s="5" t="s">
        <v>285</v>
      </c>
      <c r="D13" s="5" t="s">
        <v>45</v>
      </c>
      <c r="E13" s="5" t="s">
        <v>46</v>
      </c>
      <c r="F13" s="5" t="s">
        <v>286</v>
      </c>
      <c r="G13" s="5" t="s">
        <v>263</v>
      </c>
    </row>
    <row r="14" spans="1:7" ht="14.5" hidden="1" x14ac:dyDescent="0.35">
      <c r="A14" s="5">
        <v>5</v>
      </c>
      <c r="B14" s="5" t="s">
        <v>287</v>
      </c>
      <c r="C14" s="5" t="s">
        <v>288</v>
      </c>
      <c r="D14" s="5" t="s">
        <v>45</v>
      </c>
      <c r="E14" s="5" t="s">
        <v>48</v>
      </c>
      <c r="F14" s="5" t="s">
        <v>289</v>
      </c>
      <c r="G14" s="5" t="s">
        <v>266</v>
      </c>
    </row>
    <row r="15" spans="1:7" ht="14.5" x14ac:dyDescent="0.35">
      <c r="A15" s="5">
        <v>6</v>
      </c>
      <c r="B15" s="5" t="s">
        <v>290</v>
      </c>
      <c r="C15" s="5" t="s">
        <v>291</v>
      </c>
      <c r="D15" s="5" t="s">
        <v>292</v>
      </c>
      <c r="E15" s="5" t="s">
        <v>38</v>
      </c>
      <c r="F15" s="5" t="s">
        <v>293</v>
      </c>
      <c r="G15" s="5" t="s">
        <v>263</v>
      </c>
    </row>
    <row r="16" spans="1:7" ht="14.5" hidden="1" x14ac:dyDescent="0.35">
      <c r="A16" s="5">
        <v>6</v>
      </c>
      <c r="B16" s="5" t="s">
        <v>294</v>
      </c>
      <c r="C16" s="5" t="s">
        <v>295</v>
      </c>
      <c r="D16" s="5" t="s">
        <v>292</v>
      </c>
      <c r="E16" s="5" t="s">
        <v>52</v>
      </c>
      <c r="F16" s="5" t="s">
        <v>53</v>
      </c>
      <c r="G16" s="5" t="s">
        <v>266</v>
      </c>
    </row>
    <row r="17" spans="1:7" ht="14.5" x14ac:dyDescent="0.35">
      <c r="A17" s="5">
        <v>7</v>
      </c>
      <c r="B17" s="5" t="s">
        <v>296</v>
      </c>
      <c r="C17" s="5" t="s">
        <v>297</v>
      </c>
      <c r="D17" s="5" t="s">
        <v>262</v>
      </c>
      <c r="E17" s="5" t="s">
        <v>54</v>
      </c>
      <c r="F17" s="5" t="s">
        <v>298</v>
      </c>
      <c r="G17" s="5" t="s">
        <v>263</v>
      </c>
    </row>
    <row r="18" spans="1:7" ht="14.5" x14ac:dyDescent="0.35">
      <c r="A18" s="5">
        <v>8</v>
      </c>
      <c r="B18" s="5" t="s">
        <v>299</v>
      </c>
      <c r="C18" s="5" t="s">
        <v>300</v>
      </c>
      <c r="D18" s="5" t="s">
        <v>301</v>
      </c>
      <c r="E18" s="5" t="s">
        <v>38</v>
      </c>
      <c r="F18" s="5" t="s">
        <v>302</v>
      </c>
      <c r="G18" s="5" t="s">
        <v>263</v>
      </c>
    </row>
    <row r="19" spans="1:7" ht="14.5" hidden="1" x14ac:dyDescent="0.35">
      <c r="A19" s="5">
        <v>8</v>
      </c>
      <c r="B19" s="5" t="s">
        <v>303</v>
      </c>
      <c r="C19" s="5" t="s">
        <v>304</v>
      </c>
      <c r="D19" s="5" t="s">
        <v>301</v>
      </c>
      <c r="E19" s="5" t="s">
        <v>38</v>
      </c>
      <c r="F19" s="5" t="s">
        <v>305</v>
      </c>
      <c r="G19" s="5" t="s">
        <v>266</v>
      </c>
    </row>
    <row r="20" spans="1:7" ht="14.5" hidden="1" x14ac:dyDescent="0.35">
      <c r="A20" s="5">
        <v>8</v>
      </c>
      <c r="B20" s="5" t="s">
        <v>306</v>
      </c>
      <c r="C20" s="5" t="s">
        <v>304</v>
      </c>
      <c r="D20" s="5" t="s">
        <v>301</v>
      </c>
      <c r="E20" s="5" t="s">
        <v>59</v>
      </c>
      <c r="F20" s="5" t="s">
        <v>305</v>
      </c>
      <c r="G20" s="5" t="s">
        <v>266</v>
      </c>
    </row>
    <row r="21" spans="1:7" ht="14.5" x14ac:dyDescent="0.35">
      <c r="A21" s="5">
        <v>9</v>
      </c>
      <c r="B21" s="5" t="s">
        <v>307</v>
      </c>
      <c r="C21" s="5" t="s">
        <v>308</v>
      </c>
      <c r="D21" s="5" t="s">
        <v>37</v>
      </c>
      <c r="E21" s="5" t="s">
        <v>60</v>
      </c>
      <c r="F21" s="5" t="s">
        <v>61</v>
      </c>
      <c r="G21" s="5" t="s">
        <v>263</v>
      </c>
    </row>
    <row r="22" spans="1:7" ht="14.5" hidden="1" x14ac:dyDescent="0.35">
      <c r="A22" s="5">
        <v>9</v>
      </c>
      <c r="B22" s="5" t="s">
        <v>309</v>
      </c>
      <c r="C22" s="5" t="s">
        <v>310</v>
      </c>
      <c r="D22" s="5" t="s">
        <v>37</v>
      </c>
      <c r="E22" s="5" t="s">
        <v>62</v>
      </c>
      <c r="F22" s="5" t="s">
        <v>63</v>
      </c>
      <c r="G22" s="5" t="s">
        <v>266</v>
      </c>
    </row>
    <row r="23" spans="1:7" ht="14.5" x14ac:dyDescent="0.35">
      <c r="A23" s="5">
        <v>10</v>
      </c>
      <c r="B23" s="5" t="s">
        <v>311</v>
      </c>
      <c r="C23" s="5" t="s">
        <v>312</v>
      </c>
      <c r="D23" s="5" t="s">
        <v>30</v>
      </c>
      <c r="E23" s="5" t="s">
        <v>38</v>
      </c>
      <c r="F23" s="5" t="s">
        <v>313</v>
      </c>
      <c r="G23" s="5" t="s">
        <v>263</v>
      </c>
    </row>
    <row r="24" spans="1:7" ht="14.5" x14ac:dyDescent="0.35">
      <c r="A24" s="5">
        <v>11</v>
      </c>
      <c r="B24" s="5" t="s">
        <v>314</v>
      </c>
      <c r="C24" s="5" t="s">
        <v>315</v>
      </c>
      <c r="D24" s="5" t="s">
        <v>37</v>
      </c>
      <c r="E24" s="5" t="s">
        <v>38</v>
      </c>
      <c r="F24" s="5" t="s">
        <v>65</v>
      </c>
      <c r="G24" s="5" t="s">
        <v>263</v>
      </c>
    </row>
    <row r="25" spans="1:7" ht="14.5" hidden="1" x14ac:dyDescent="0.35">
      <c r="A25" s="5">
        <v>11</v>
      </c>
      <c r="B25" s="5" t="s">
        <v>316</v>
      </c>
      <c r="C25" s="5" t="s">
        <v>317</v>
      </c>
      <c r="D25" s="5" t="s">
        <v>37</v>
      </c>
      <c r="E25" s="5" t="s">
        <v>66</v>
      </c>
      <c r="F25" s="5" t="s">
        <v>67</v>
      </c>
      <c r="G25" s="5" t="s">
        <v>266</v>
      </c>
    </row>
    <row r="26" spans="1:7" ht="14.5" hidden="1" x14ac:dyDescent="0.35">
      <c r="A26" s="5">
        <v>11</v>
      </c>
      <c r="B26" s="5" t="s">
        <v>318</v>
      </c>
      <c r="C26" s="5" t="s">
        <v>317</v>
      </c>
      <c r="D26" s="5" t="s">
        <v>37</v>
      </c>
      <c r="E26" s="5" t="s">
        <v>66</v>
      </c>
      <c r="F26" s="5" t="s">
        <v>68</v>
      </c>
      <c r="G26" s="5" t="s">
        <v>266</v>
      </c>
    </row>
    <row r="27" spans="1:7" ht="14.5" x14ac:dyDescent="0.35">
      <c r="A27" s="5">
        <v>12</v>
      </c>
      <c r="B27" s="5" t="s">
        <v>319</v>
      </c>
      <c r="C27" s="5" t="s">
        <v>320</v>
      </c>
      <c r="D27" s="5" t="s">
        <v>262</v>
      </c>
      <c r="E27" s="5" t="s">
        <v>69</v>
      </c>
      <c r="F27" s="5" t="s">
        <v>70</v>
      </c>
      <c r="G27" s="5" t="s">
        <v>263</v>
      </c>
    </row>
    <row r="28" spans="1:7" ht="14.5" x14ac:dyDescent="0.35">
      <c r="A28" s="5">
        <v>13</v>
      </c>
      <c r="B28" s="5" t="s">
        <v>321</v>
      </c>
      <c r="C28" s="5" t="s">
        <v>322</v>
      </c>
      <c r="D28" s="5" t="s">
        <v>71</v>
      </c>
      <c r="E28" s="5" t="s">
        <v>38</v>
      </c>
      <c r="F28" s="5" t="s">
        <v>323</v>
      </c>
      <c r="G28" s="5" t="s">
        <v>263</v>
      </c>
    </row>
    <row r="29" spans="1:7" ht="14.5" hidden="1" x14ac:dyDescent="0.35">
      <c r="A29" s="5">
        <v>13</v>
      </c>
      <c r="B29" s="5" t="s">
        <v>324</v>
      </c>
      <c r="C29" s="5" t="s">
        <v>325</v>
      </c>
      <c r="D29" s="5" t="s">
        <v>71</v>
      </c>
      <c r="E29" s="5" t="s">
        <v>73</v>
      </c>
      <c r="F29" s="5" t="s">
        <v>326</v>
      </c>
      <c r="G29" s="5" t="s">
        <v>266</v>
      </c>
    </row>
    <row r="30" spans="1:7" ht="14.5" x14ac:dyDescent="0.35">
      <c r="A30" s="5">
        <v>14</v>
      </c>
      <c r="B30" s="5" t="s">
        <v>327</v>
      </c>
      <c r="C30" s="5" t="s">
        <v>328</v>
      </c>
      <c r="D30" s="5" t="s">
        <v>75</v>
      </c>
      <c r="E30" s="5" t="s">
        <v>76</v>
      </c>
      <c r="F30" s="5" t="s">
        <v>329</v>
      </c>
      <c r="G30" s="5" t="s">
        <v>263</v>
      </c>
    </row>
    <row r="31" spans="1:7" ht="14.5" hidden="1" x14ac:dyDescent="0.35">
      <c r="A31" s="5">
        <v>14</v>
      </c>
      <c r="B31" s="5" t="s">
        <v>330</v>
      </c>
      <c r="C31" s="5" t="s">
        <v>331</v>
      </c>
      <c r="D31" s="5" t="s">
        <v>75</v>
      </c>
      <c r="E31" s="5" t="s">
        <v>35</v>
      </c>
      <c r="F31" s="5" t="s">
        <v>36</v>
      </c>
      <c r="G31" s="5" t="s">
        <v>266</v>
      </c>
    </row>
    <row r="32" spans="1:7" ht="14.5" x14ac:dyDescent="0.35">
      <c r="A32" s="5">
        <v>15</v>
      </c>
      <c r="B32" s="5" t="s">
        <v>332</v>
      </c>
      <c r="C32" s="5" t="s">
        <v>333</v>
      </c>
      <c r="D32" s="5" t="s">
        <v>301</v>
      </c>
      <c r="E32" s="5" t="s">
        <v>60</v>
      </c>
      <c r="F32" s="5" t="s">
        <v>78</v>
      </c>
      <c r="G32" s="5" t="s">
        <v>263</v>
      </c>
    </row>
    <row r="33" spans="1:7" ht="14.5" hidden="1" x14ac:dyDescent="0.35">
      <c r="A33" s="5">
        <v>15</v>
      </c>
      <c r="B33" s="5" t="s">
        <v>334</v>
      </c>
      <c r="C33" s="5" t="s">
        <v>335</v>
      </c>
      <c r="D33" s="5" t="s">
        <v>301</v>
      </c>
      <c r="E33" s="5" t="s">
        <v>54</v>
      </c>
      <c r="F33" s="5" t="s">
        <v>79</v>
      </c>
      <c r="G33" s="5" t="s">
        <v>266</v>
      </c>
    </row>
    <row r="34" spans="1:7" ht="14.5" x14ac:dyDescent="0.35">
      <c r="A34" s="5">
        <v>16</v>
      </c>
      <c r="B34" s="5" t="s">
        <v>336</v>
      </c>
      <c r="C34" s="5" t="s">
        <v>337</v>
      </c>
      <c r="D34" s="5" t="s">
        <v>80</v>
      </c>
      <c r="E34" s="5" t="s">
        <v>38</v>
      </c>
      <c r="F34" s="5" t="s">
        <v>81</v>
      </c>
      <c r="G34" s="5" t="s">
        <v>263</v>
      </c>
    </row>
    <row r="35" spans="1:7" ht="14.5" hidden="1" x14ac:dyDescent="0.35">
      <c r="A35" s="5">
        <v>16</v>
      </c>
      <c r="B35" s="5" t="s">
        <v>338</v>
      </c>
      <c r="C35" s="5" t="s">
        <v>339</v>
      </c>
      <c r="D35" s="5" t="s">
        <v>80</v>
      </c>
      <c r="E35" s="5" t="s">
        <v>340</v>
      </c>
      <c r="F35" s="5" t="s">
        <v>83</v>
      </c>
      <c r="G35" s="5" t="s">
        <v>266</v>
      </c>
    </row>
    <row r="36" spans="1:7" ht="14.5" hidden="1" x14ac:dyDescent="0.35">
      <c r="A36" s="5">
        <v>16</v>
      </c>
      <c r="B36" s="5" t="s">
        <v>341</v>
      </c>
      <c r="C36" s="5" t="s">
        <v>339</v>
      </c>
      <c r="D36" s="5" t="s">
        <v>80</v>
      </c>
      <c r="E36" s="5" t="s">
        <v>84</v>
      </c>
      <c r="F36" s="5" t="s">
        <v>342</v>
      </c>
      <c r="G36" s="5" t="s">
        <v>266</v>
      </c>
    </row>
    <row r="37" spans="1:7" ht="14.5" x14ac:dyDescent="0.35">
      <c r="A37" s="5">
        <v>17</v>
      </c>
      <c r="B37" s="5" t="s">
        <v>343</v>
      </c>
      <c r="C37" s="5" t="s">
        <v>344</v>
      </c>
      <c r="D37" s="5" t="s">
        <v>86</v>
      </c>
      <c r="E37" s="5" t="s">
        <v>38</v>
      </c>
      <c r="F37" s="5" t="s">
        <v>87</v>
      </c>
      <c r="G37" s="5" t="s">
        <v>263</v>
      </c>
    </row>
    <row r="38" spans="1:7" ht="14.5" hidden="1" x14ac:dyDescent="0.35">
      <c r="A38" s="5">
        <v>17</v>
      </c>
      <c r="B38" s="5" t="s">
        <v>345</v>
      </c>
      <c r="C38" s="5" t="s">
        <v>346</v>
      </c>
      <c r="D38" s="5" t="s">
        <v>86</v>
      </c>
      <c r="E38" s="5" t="s">
        <v>59</v>
      </c>
      <c r="F38" s="5" t="s">
        <v>347</v>
      </c>
      <c r="G38" s="5" t="s">
        <v>266</v>
      </c>
    </row>
    <row r="39" spans="1:7" ht="14.5" x14ac:dyDescent="0.35">
      <c r="A39" s="5">
        <v>18</v>
      </c>
      <c r="B39" s="5" t="s">
        <v>348</v>
      </c>
      <c r="C39" s="5" t="s">
        <v>349</v>
      </c>
      <c r="D39" s="5" t="s">
        <v>37</v>
      </c>
      <c r="E39" s="5" t="s">
        <v>38</v>
      </c>
      <c r="F39" s="5" t="s">
        <v>350</v>
      </c>
      <c r="G39" s="5" t="s">
        <v>263</v>
      </c>
    </row>
    <row r="40" spans="1:7" ht="14.5" hidden="1" x14ac:dyDescent="0.35">
      <c r="A40" s="5">
        <v>18</v>
      </c>
      <c r="B40" s="5" t="s">
        <v>351</v>
      </c>
      <c r="C40" s="5" t="s">
        <v>352</v>
      </c>
      <c r="D40" s="5" t="s">
        <v>37</v>
      </c>
      <c r="E40" s="5" t="s">
        <v>90</v>
      </c>
      <c r="F40" s="5" t="s">
        <v>353</v>
      </c>
      <c r="G40" s="5" t="s">
        <v>266</v>
      </c>
    </row>
    <row r="41" spans="1:7" ht="14.5" hidden="1" x14ac:dyDescent="0.35">
      <c r="A41" s="5">
        <v>18</v>
      </c>
      <c r="B41" s="5" t="s">
        <v>354</v>
      </c>
      <c r="C41" s="5" t="s">
        <v>352</v>
      </c>
      <c r="D41" s="5" t="s">
        <v>37</v>
      </c>
      <c r="E41" s="5" t="s">
        <v>90</v>
      </c>
      <c r="F41" s="5" t="s">
        <v>355</v>
      </c>
      <c r="G41" s="5" t="s">
        <v>266</v>
      </c>
    </row>
    <row r="42" spans="1:7" ht="14.5" x14ac:dyDescent="0.35">
      <c r="A42" s="5">
        <v>19</v>
      </c>
      <c r="B42" s="5" t="s">
        <v>356</v>
      </c>
      <c r="C42" s="5" t="s">
        <v>357</v>
      </c>
      <c r="D42" s="5" t="s">
        <v>301</v>
      </c>
      <c r="E42" s="5" t="s">
        <v>38</v>
      </c>
      <c r="F42" s="5" t="s">
        <v>350</v>
      </c>
      <c r="G42" s="5" t="s">
        <v>263</v>
      </c>
    </row>
    <row r="43" spans="1:7" ht="14.5" hidden="1" x14ac:dyDescent="0.35">
      <c r="A43" s="5">
        <v>19</v>
      </c>
      <c r="B43" s="5" t="s">
        <v>358</v>
      </c>
      <c r="C43" s="5" t="s">
        <v>352</v>
      </c>
      <c r="D43" s="5" t="s">
        <v>301</v>
      </c>
      <c r="E43" s="5" t="s">
        <v>90</v>
      </c>
      <c r="F43" s="5" t="s">
        <v>353</v>
      </c>
      <c r="G43" s="5" t="s">
        <v>266</v>
      </c>
    </row>
    <row r="44" spans="1:7" ht="14.5" hidden="1" x14ac:dyDescent="0.35">
      <c r="A44" s="5">
        <v>19</v>
      </c>
      <c r="B44" s="5" t="s">
        <v>359</v>
      </c>
      <c r="C44" s="5" t="s">
        <v>352</v>
      </c>
      <c r="D44" s="5" t="s">
        <v>301</v>
      </c>
      <c r="E44" s="5" t="s">
        <v>90</v>
      </c>
      <c r="F44" s="5" t="s">
        <v>355</v>
      </c>
      <c r="G44" s="5" t="s">
        <v>266</v>
      </c>
    </row>
    <row r="45" spans="1:7" ht="14.5" x14ac:dyDescent="0.35">
      <c r="A45" s="5">
        <v>20</v>
      </c>
      <c r="B45" s="5" t="s">
        <v>360</v>
      </c>
      <c r="C45" s="5" t="s">
        <v>361</v>
      </c>
      <c r="D45" s="5" t="s">
        <v>86</v>
      </c>
      <c r="E45" s="5" t="s">
        <v>93</v>
      </c>
      <c r="F45" s="5" t="s">
        <v>94</v>
      </c>
      <c r="G45" s="5" t="s">
        <v>263</v>
      </c>
    </row>
    <row r="46" spans="1:7" ht="14.5" hidden="1" x14ac:dyDescent="0.35">
      <c r="A46" s="5">
        <v>20</v>
      </c>
      <c r="B46" s="5" t="s">
        <v>362</v>
      </c>
      <c r="C46" s="5" t="s">
        <v>363</v>
      </c>
      <c r="D46" s="5" t="s">
        <v>86</v>
      </c>
      <c r="E46" s="5" t="s">
        <v>364</v>
      </c>
      <c r="F46" s="5" t="s">
        <v>96</v>
      </c>
      <c r="G46" s="5" t="s">
        <v>266</v>
      </c>
    </row>
    <row r="47" spans="1:7" ht="14.5" hidden="1" x14ac:dyDescent="0.35">
      <c r="A47" s="5">
        <v>20</v>
      </c>
      <c r="B47" s="5" t="s">
        <v>365</v>
      </c>
      <c r="C47" s="5" t="s">
        <v>363</v>
      </c>
      <c r="D47" s="5" t="s">
        <v>86</v>
      </c>
      <c r="E47" s="5" t="s">
        <v>366</v>
      </c>
      <c r="F47" s="5" t="s">
        <v>367</v>
      </c>
      <c r="G47" s="5" t="s">
        <v>266</v>
      </c>
    </row>
    <row r="48" spans="1:7" ht="14.5" x14ac:dyDescent="0.35">
      <c r="A48" s="5">
        <v>21</v>
      </c>
      <c r="B48" s="5" t="s">
        <v>368</v>
      </c>
      <c r="C48" s="5" t="s">
        <v>369</v>
      </c>
      <c r="D48" s="5" t="s">
        <v>37</v>
      </c>
      <c r="E48" s="5" t="s">
        <v>99</v>
      </c>
      <c r="F48" s="5" t="s">
        <v>370</v>
      </c>
      <c r="G48" s="5" t="s">
        <v>263</v>
      </c>
    </row>
    <row r="49" spans="1:7" ht="14.5" hidden="1" x14ac:dyDescent="0.35">
      <c r="A49" s="5">
        <v>21</v>
      </c>
      <c r="B49" s="5" t="s">
        <v>371</v>
      </c>
      <c r="C49" s="5" t="s">
        <v>372</v>
      </c>
      <c r="D49" s="5" t="s">
        <v>37</v>
      </c>
      <c r="E49" s="5" t="s">
        <v>373</v>
      </c>
      <c r="F49" s="5" t="s">
        <v>274</v>
      </c>
      <c r="G49" s="5" t="s">
        <v>266</v>
      </c>
    </row>
    <row r="50" spans="1:7" ht="14.5" hidden="1" x14ac:dyDescent="0.35">
      <c r="A50" s="5">
        <v>21</v>
      </c>
      <c r="B50" s="5" t="s">
        <v>374</v>
      </c>
      <c r="C50" s="5" t="s">
        <v>372</v>
      </c>
      <c r="D50" s="5" t="s">
        <v>37</v>
      </c>
      <c r="E50" s="5" t="s">
        <v>102</v>
      </c>
      <c r="F50" s="5" t="s">
        <v>274</v>
      </c>
      <c r="G50" s="5" t="s">
        <v>266</v>
      </c>
    </row>
    <row r="51" spans="1:7" ht="14.5" hidden="1" x14ac:dyDescent="0.35">
      <c r="A51" s="5">
        <v>21</v>
      </c>
      <c r="B51" s="5" t="s">
        <v>375</v>
      </c>
      <c r="C51" s="5" t="s">
        <v>372</v>
      </c>
      <c r="D51" s="5" t="s">
        <v>37</v>
      </c>
      <c r="E51" s="5" t="s">
        <v>103</v>
      </c>
      <c r="F51" s="5" t="s">
        <v>274</v>
      </c>
      <c r="G51" s="5" t="s">
        <v>266</v>
      </c>
    </row>
    <row r="52" spans="1:7" ht="14.5" x14ac:dyDescent="0.35">
      <c r="A52" s="5">
        <v>22</v>
      </c>
      <c r="B52" s="5" t="s">
        <v>376</v>
      </c>
      <c r="C52" s="5" t="s">
        <v>315</v>
      </c>
      <c r="D52" s="5" t="s">
        <v>37</v>
      </c>
      <c r="E52" s="5" t="s">
        <v>38</v>
      </c>
      <c r="F52" s="5" t="s">
        <v>65</v>
      </c>
      <c r="G52" s="5" t="s">
        <v>263</v>
      </c>
    </row>
    <row r="53" spans="1:7" ht="14.5" hidden="1" x14ac:dyDescent="0.35">
      <c r="A53" s="5">
        <v>22</v>
      </c>
      <c r="B53" s="5" t="s">
        <v>377</v>
      </c>
      <c r="C53" s="5" t="s">
        <v>378</v>
      </c>
      <c r="D53" s="5" t="s">
        <v>37</v>
      </c>
      <c r="E53" s="5" t="s">
        <v>379</v>
      </c>
      <c r="F53" s="5" t="s">
        <v>105</v>
      </c>
      <c r="G53" s="5" t="s">
        <v>266</v>
      </c>
    </row>
    <row r="54" spans="1:7" ht="14.5" hidden="1" x14ac:dyDescent="0.35">
      <c r="A54" s="5">
        <v>22</v>
      </c>
      <c r="B54" s="5" t="s">
        <v>380</v>
      </c>
      <c r="C54" s="5" t="s">
        <v>378</v>
      </c>
      <c r="D54" s="5" t="s">
        <v>37</v>
      </c>
      <c r="E54" s="5" t="s">
        <v>46</v>
      </c>
      <c r="F54" s="5" t="s">
        <v>106</v>
      </c>
      <c r="G54" s="5" t="s">
        <v>266</v>
      </c>
    </row>
    <row r="55" spans="1:7" ht="14.5" x14ac:dyDescent="0.35">
      <c r="A55" s="5">
        <v>23</v>
      </c>
      <c r="B55" s="5" t="s">
        <v>381</v>
      </c>
      <c r="C55" s="5" t="s">
        <v>382</v>
      </c>
      <c r="D55" s="5" t="s">
        <v>107</v>
      </c>
      <c r="E55" s="5" t="s">
        <v>108</v>
      </c>
      <c r="F55" s="5" t="s">
        <v>383</v>
      </c>
      <c r="G55" s="5" t="s">
        <v>263</v>
      </c>
    </row>
    <row r="56" spans="1:7" ht="14.5" hidden="1" x14ac:dyDescent="0.35">
      <c r="A56" s="5">
        <v>23</v>
      </c>
      <c r="B56" s="5" t="s">
        <v>384</v>
      </c>
      <c r="C56" s="5" t="s">
        <v>385</v>
      </c>
      <c r="D56" s="5" t="s">
        <v>107</v>
      </c>
      <c r="E56" s="5" t="s">
        <v>46</v>
      </c>
      <c r="F56" s="5" t="s">
        <v>386</v>
      </c>
      <c r="G56" s="5" t="s">
        <v>266</v>
      </c>
    </row>
    <row r="57" spans="1:7" ht="14.5" hidden="1" x14ac:dyDescent="0.35">
      <c r="A57" s="5">
        <v>23</v>
      </c>
      <c r="B57" s="5" t="s">
        <v>387</v>
      </c>
      <c r="C57" s="5" t="s">
        <v>385</v>
      </c>
      <c r="D57" s="5" t="s">
        <v>107</v>
      </c>
      <c r="E57" s="5" t="s">
        <v>388</v>
      </c>
      <c r="F57" s="5" t="s">
        <v>386</v>
      </c>
      <c r="G57" s="5" t="s">
        <v>266</v>
      </c>
    </row>
    <row r="58" spans="1:7" ht="14.5" x14ac:dyDescent="0.35">
      <c r="A58" s="5">
        <v>24</v>
      </c>
      <c r="B58" s="5" t="s">
        <v>389</v>
      </c>
      <c r="C58" s="5" t="s">
        <v>390</v>
      </c>
      <c r="D58" s="5" t="s">
        <v>112</v>
      </c>
      <c r="E58" s="5" t="s">
        <v>113</v>
      </c>
      <c r="F58" s="5" t="s">
        <v>391</v>
      </c>
      <c r="G58" s="5" t="s">
        <v>263</v>
      </c>
    </row>
    <row r="59" spans="1:7" ht="14.5" hidden="1" x14ac:dyDescent="0.35">
      <c r="A59" s="5">
        <v>24</v>
      </c>
      <c r="B59" s="5" t="s">
        <v>392</v>
      </c>
      <c r="C59" s="5" t="s">
        <v>393</v>
      </c>
      <c r="D59" s="5" t="s">
        <v>112</v>
      </c>
      <c r="E59" s="5" t="s">
        <v>46</v>
      </c>
      <c r="F59" s="5" t="s">
        <v>394</v>
      </c>
      <c r="G59" s="5" t="s">
        <v>266</v>
      </c>
    </row>
    <row r="60" spans="1:7" ht="14.5" x14ac:dyDescent="0.35">
      <c r="A60" s="5">
        <v>25</v>
      </c>
      <c r="B60" s="5" t="s">
        <v>395</v>
      </c>
      <c r="C60" s="5" t="s">
        <v>396</v>
      </c>
      <c r="D60" s="5" t="s">
        <v>30</v>
      </c>
      <c r="E60" s="5" t="s">
        <v>116</v>
      </c>
      <c r="F60" s="5" t="s">
        <v>386</v>
      </c>
      <c r="G60" s="5" t="s">
        <v>263</v>
      </c>
    </row>
    <row r="61" spans="1:7" ht="14.5" hidden="1" x14ac:dyDescent="0.35">
      <c r="A61" s="5">
        <v>25</v>
      </c>
      <c r="B61" s="5" t="s">
        <v>397</v>
      </c>
      <c r="C61" s="5" t="s">
        <v>398</v>
      </c>
      <c r="D61" s="5" t="s">
        <v>30</v>
      </c>
      <c r="E61" s="5" t="s">
        <v>117</v>
      </c>
      <c r="F61" s="5" t="s">
        <v>70</v>
      </c>
      <c r="G61" s="5" t="s">
        <v>266</v>
      </c>
    </row>
    <row r="62" spans="1:7" ht="14.5" x14ac:dyDescent="0.35">
      <c r="A62" s="5">
        <v>26</v>
      </c>
      <c r="B62" s="5" t="s">
        <v>399</v>
      </c>
      <c r="C62" s="5" t="s">
        <v>400</v>
      </c>
      <c r="D62" s="5" t="s">
        <v>118</v>
      </c>
      <c r="E62" s="5" t="s">
        <v>38</v>
      </c>
      <c r="F62" s="5" t="s">
        <v>119</v>
      </c>
      <c r="G62" s="5" t="s">
        <v>263</v>
      </c>
    </row>
    <row r="63" spans="1:7" ht="14.5" hidden="1" x14ac:dyDescent="0.35">
      <c r="A63" s="5">
        <v>26</v>
      </c>
      <c r="B63" s="5" t="s">
        <v>401</v>
      </c>
      <c r="C63" s="5" t="s">
        <v>402</v>
      </c>
      <c r="D63" s="5" t="s">
        <v>118</v>
      </c>
      <c r="E63" s="5" t="s">
        <v>403</v>
      </c>
      <c r="F63" s="5" t="s">
        <v>404</v>
      </c>
      <c r="G63" s="5" t="s">
        <v>266</v>
      </c>
    </row>
    <row r="64" spans="1:7" ht="14.5" hidden="1" x14ac:dyDescent="0.35">
      <c r="A64" s="5">
        <v>26</v>
      </c>
      <c r="B64" s="5" t="s">
        <v>405</v>
      </c>
      <c r="C64" s="5" t="s">
        <v>402</v>
      </c>
      <c r="D64" s="5" t="s">
        <v>118</v>
      </c>
      <c r="E64" s="5" t="s">
        <v>406</v>
      </c>
      <c r="F64" s="5" t="s">
        <v>404</v>
      </c>
      <c r="G64" s="5" t="s">
        <v>266</v>
      </c>
    </row>
    <row r="65" spans="1:7" ht="14.5" hidden="1" x14ac:dyDescent="0.35">
      <c r="A65" s="5">
        <v>26</v>
      </c>
      <c r="B65" s="5" t="s">
        <v>407</v>
      </c>
      <c r="C65" s="5" t="s">
        <v>402</v>
      </c>
      <c r="D65" s="5" t="s">
        <v>118</v>
      </c>
      <c r="E65" s="5" t="s">
        <v>38</v>
      </c>
      <c r="F65" s="5" t="s">
        <v>408</v>
      </c>
      <c r="G65" s="5" t="s">
        <v>266</v>
      </c>
    </row>
    <row r="66" spans="1:7" ht="14.5" hidden="1" x14ac:dyDescent="0.35">
      <c r="A66" s="5">
        <v>26</v>
      </c>
      <c r="B66" s="5" t="s">
        <v>409</v>
      </c>
      <c r="C66" s="5" t="s">
        <v>402</v>
      </c>
      <c r="D66" s="5" t="s">
        <v>118</v>
      </c>
      <c r="E66" s="5" t="s">
        <v>406</v>
      </c>
      <c r="F66" s="5" t="s">
        <v>404</v>
      </c>
      <c r="G66" s="5" t="s">
        <v>266</v>
      </c>
    </row>
    <row r="67" spans="1:7" ht="14.5" x14ac:dyDescent="0.35">
      <c r="A67" s="5">
        <v>27</v>
      </c>
      <c r="B67" s="5" t="s">
        <v>410</v>
      </c>
      <c r="C67" s="5" t="s">
        <v>411</v>
      </c>
      <c r="D67" s="5" t="s">
        <v>118</v>
      </c>
      <c r="E67" s="5" t="s">
        <v>38</v>
      </c>
      <c r="F67" s="5" t="s">
        <v>412</v>
      </c>
      <c r="G67" s="5" t="s">
        <v>263</v>
      </c>
    </row>
    <row r="68" spans="1:7" ht="14.5" hidden="1" x14ac:dyDescent="0.35">
      <c r="A68" s="5">
        <v>27</v>
      </c>
      <c r="B68" s="5" t="s">
        <v>413</v>
      </c>
      <c r="C68" s="5" t="s">
        <v>414</v>
      </c>
      <c r="D68" s="5" t="s">
        <v>118</v>
      </c>
      <c r="E68" s="5" t="s">
        <v>125</v>
      </c>
      <c r="F68" s="5" t="s">
        <v>415</v>
      </c>
      <c r="G68" s="5" t="s">
        <v>266</v>
      </c>
    </row>
    <row r="69" spans="1:7" ht="14.5" x14ac:dyDescent="0.35">
      <c r="A69" s="5">
        <v>28</v>
      </c>
      <c r="B69" s="5" t="s">
        <v>416</v>
      </c>
      <c r="C69" s="5" t="s">
        <v>417</v>
      </c>
      <c r="D69" s="5" t="s">
        <v>118</v>
      </c>
      <c r="E69" s="5" t="s">
        <v>60</v>
      </c>
      <c r="F69" s="5" t="s">
        <v>418</v>
      </c>
      <c r="G69" s="5" t="s">
        <v>263</v>
      </c>
    </row>
    <row r="70" spans="1:7" ht="14.5" hidden="1" x14ac:dyDescent="0.35">
      <c r="A70" s="5">
        <v>28</v>
      </c>
      <c r="B70" s="5" t="s">
        <v>419</v>
      </c>
      <c r="C70" s="5" t="s">
        <v>420</v>
      </c>
      <c r="D70" s="5" t="s">
        <v>118</v>
      </c>
      <c r="E70" s="5" t="s">
        <v>128</v>
      </c>
      <c r="F70" s="5" t="s">
        <v>129</v>
      </c>
      <c r="G70" s="5" t="s">
        <v>266</v>
      </c>
    </row>
    <row r="71" spans="1:7" ht="14.5" x14ac:dyDescent="0.35">
      <c r="A71" s="5">
        <v>29</v>
      </c>
      <c r="B71" s="5" t="s">
        <v>421</v>
      </c>
      <c r="C71" s="5" t="s">
        <v>422</v>
      </c>
      <c r="D71" s="5" t="s">
        <v>130</v>
      </c>
      <c r="E71" s="5" t="s">
        <v>60</v>
      </c>
      <c r="F71" s="5" t="s">
        <v>131</v>
      </c>
      <c r="G71" s="5" t="s">
        <v>263</v>
      </c>
    </row>
    <row r="72" spans="1:7" ht="14.5" x14ac:dyDescent="0.35">
      <c r="A72" s="5">
        <v>30</v>
      </c>
      <c r="B72" s="5" t="s">
        <v>423</v>
      </c>
      <c r="C72" s="5" t="s">
        <v>424</v>
      </c>
      <c r="D72" s="5" t="s">
        <v>132</v>
      </c>
      <c r="E72" s="5" t="s">
        <v>38</v>
      </c>
      <c r="F72" s="5" t="s">
        <v>133</v>
      </c>
      <c r="G72" s="5" t="s">
        <v>263</v>
      </c>
    </row>
    <row r="73" spans="1:7" ht="14.5" hidden="1" x14ac:dyDescent="0.35">
      <c r="A73" s="5">
        <v>30</v>
      </c>
      <c r="B73" s="5" t="s">
        <v>425</v>
      </c>
      <c r="C73" s="5" t="s">
        <v>426</v>
      </c>
      <c r="D73" s="5" t="s">
        <v>132</v>
      </c>
      <c r="E73" s="5" t="s">
        <v>151</v>
      </c>
      <c r="F73" s="5" t="s">
        <v>274</v>
      </c>
      <c r="G73" s="5" t="s">
        <v>266</v>
      </c>
    </row>
    <row r="74" spans="1:7" ht="14.5" hidden="1" x14ac:dyDescent="0.35">
      <c r="A74" s="5">
        <v>30</v>
      </c>
      <c r="B74" s="5" t="s">
        <v>427</v>
      </c>
      <c r="C74" s="5" t="s">
        <v>426</v>
      </c>
      <c r="D74" s="5" t="s">
        <v>132</v>
      </c>
      <c r="E74" s="5" t="s">
        <v>54</v>
      </c>
      <c r="F74" s="5" t="s">
        <v>428</v>
      </c>
      <c r="G74" s="5" t="s">
        <v>266</v>
      </c>
    </row>
    <row r="75" spans="1:7" ht="14.5" x14ac:dyDescent="0.35">
      <c r="A75" s="5">
        <v>31</v>
      </c>
      <c r="B75" s="5" t="s">
        <v>429</v>
      </c>
      <c r="C75" s="5" t="s">
        <v>430</v>
      </c>
      <c r="D75" s="5" t="s">
        <v>37</v>
      </c>
      <c r="E75" s="5" t="s">
        <v>38</v>
      </c>
      <c r="F75" s="5" t="s">
        <v>135</v>
      </c>
      <c r="G75" s="5" t="s">
        <v>263</v>
      </c>
    </row>
    <row r="76" spans="1:7" ht="14.5" hidden="1" x14ac:dyDescent="0.35">
      <c r="A76" s="5">
        <v>31</v>
      </c>
      <c r="B76" s="5" t="s">
        <v>431</v>
      </c>
      <c r="C76" s="5" t="s">
        <v>432</v>
      </c>
      <c r="D76" s="5" t="s">
        <v>37</v>
      </c>
      <c r="E76" s="5" t="s">
        <v>433</v>
      </c>
      <c r="F76" s="5" t="s">
        <v>274</v>
      </c>
      <c r="G76" s="5" t="s">
        <v>266</v>
      </c>
    </row>
    <row r="77" spans="1:7" ht="14.5" hidden="1" x14ac:dyDescent="0.35">
      <c r="A77" s="5">
        <v>31</v>
      </c>
      <c r="B77" s="5" t="s">
        <v>434</v>
      </c>
      <c r="C77" s="5" t="s">
        <v>432</v>
      </c>
      <c r="D77" s="5" t="s">
        <v>37</v>
      </c>
      <c r="E77" s="5" t="s">
        <v>54</v>
      </c>
      <c r="F77" s="5" t="s">
        <v>137</v>
      </c>
      <c r="G77" s="5" t="s">
        <v>266</v>
      </c>
    </row>
    <row r="78" spans="1:7" ht="14.5" x14ac:dyDescent="0.35">
      <c r="A78" s="5">
        <v>32</v>
      </c>
      <c r="B78" s="5" t="s">
        <v>435</v>
      </c>
      <c r="C78" s="5" t="s">
        <v>436</v>
      </c>
      <c r="D78" s="5" t="s">
        <v>75</v>
      </c>
      <c r="E78" s="5" t="s">
        <v>35</v>
      </c>
      <c r="F78" s="5" t="s">
        <v>138</v>
      </c>
      <c r="G78" s="5" t="s">
        <v>263</v>
      </c>
    </row>
    <row r="79" spans="1:7" ht="14.5" hidden="1" x14ac:dyDescent="0.35">
      <c r="A79" s="5">
        <v>32</v>
      </c>
      <c r="B79" s="5" t="s">
        <v>437</v>
      </c>
      <c r="C79" s="5" t="s">
        <v>438</v>
      </c>
      <c r="D79" s="5" t="s">
        <v>75</v>
      </c>
      <c r="E79" s="5" t="s">
        <v>117</v>
      </c>
      <c r="F79" s="5" t="s">
        <v>386</v>
      </c>
      <c r="G79" s="5" t="s">
        <v>266</v>
      </c>
    </row>
    <row r="80" spans="1:7" ht="14.5" x14ac:dyDescent="0.35">
      <c r="A80" s="5">
        <v>33</v>
      </c>
      <c r="B80" s="5" t="s">
        <v>439</v>
      </c>
      <c r="C80" s="5" t="s">
        <v>440</v>
      </c>
      <c r="D80" s="5" t="s">
        <v>139</v>
      </c>
      <c r="E80" s="5" t="s">
        <v>38</v>
      </c>
      <c r="F80" s="5" t="s">
        <v>441</v>
      </c>
      <c r="G80" s="5" t="s">
        <v>263</v>
      </c>
    </row>
    <row r="81" spans="1:7" ht="14.5" x14ac:dyDescent="0.35">
      <c r="A81" s="5">
        <v>33</v>
      </c>
      <c r="B81" s="5" t="s">
        <v>442</v>
      </c>
      <c r="C81" s="5" t="s">
        <v>440</v>
      </c>
      <c r="D81" s="5" t="s">
        <v>139</v>
      </c>
      <c r="E81" s="5" t="s">
        <v>38</v>
      </c>
      <c r="F81" s="5" t="s">
        <v>443</v>
      </c>
      <c r="G81" s="5" t="s">
        <v>263</v>
      </c>
    </row>
    <row r="82" spans="1:7" ht="14.5" hidden="1" x14ac:dyDescent="0.35">
      <c r="A82" s="5">
        <v>33</v>
      </c>
      <c r="B82" s="5" t="s">
        <v>444</v>
      </c>
      <c r="C82" s="5" t="s">
        <v>445</v>
      </c>
      <c r="D82" s="5" t="s">
        <v>139</v>
      </c>
      <c r="E82" s="5" t="s">
        <v>78</v>
      </c>
      <c r="F82" s="5" t="s">
        <v>142</v>
      </c>
      <c r="G82" s="5" t="s">
        <v>266</v>
      </c>
    </row>
    <row r="83" spans="1:7" ht="14.5" x14ac:dyDescent="0.35">
      <c r="A83" s="5">
        <v>34</v>
      </c>
      <c r="B83" s="5" t="s">
        <v>446</v>
      </c>
      <c r="C83" s="5" t="s">
        <v>447</v>
      </c>
      <c r="D83" s="5" t="s">
        <v>86</v>
      </c>
      <c r="E83" s="5" t="s">
        <v>143</v>
      </c>
      <c r="F83" s="5" t="s">
        <v>70</v>
      </c>
      <c r="G83" s="5" t="s">
        <v>263</v>
      </c>
    </row>
    <row r="84" spans="1:7" ht="14.5" hidden="1" x14ac:dyDescent="0.35">
      <c r="A84" s="5">
        <v>34</v>
      </c>
      <c r="B84" s="5" t="s">
        <v>448</v>
      </c>
      <c r="C84" s="5" t="s">
        <v>449</v>
      </c>
      <c r="D84" s="5" t="s">
        <v>86</v>
      </c>
      <c r="E84" s="5" t="s">
        <v>59</v>
      </c>
      <c r="F84" s="5" t="s">
        <v>450</v>
      </c>
      <c r="G84" s="5" t="s">
        <v>266</v>
      </c>
    </row>
    <row r="85" spans="1:7" ht="14.5" x14ac:dyDescent="0.35">
      <c r="A85" s="5">
        <v>35</v>
      </c>
      <c r="B85" s="5" t="s">
        <v>451</v>
      </c>
      <c r="C85" s="5" t="s">
        <v>452</v>
      </c>
      <c r="D85" s="5" t="s">
        <v>30</v>
      </c>
      <c r="E85" s="5" t="s">
        <v>38</v>
      </c>
      <c r="F85" s="5" t="s">
        <v>133</v>
      </c>
      <c r="G85" s="5" t="s">
        <v>263</v>
      </c>
    </row>
    <row r="86" spans="1:7" ht="14.5" hidden="1" x14ac:dyDescent="0.35">
      <c r="A86" s="5">
        <v>35</v>
      </c>
      <c r="B86" s="5" t="s">
        <v>453</v>
      </c>
      <c r="C86" s="5" t="s">
        <v>454</v>
      </c>
      <c r="D86" s="5" t="s">
        <v>30</v>
      </c>
      <c r="E86" s="5" t="s">
        <v>48</v>
      </c>
      <c r="F86" s="5" t="s">
        <v>391</v>
      </c>
      <c r="G86" s="5" t="s">
        <v>266</v>
      </c>
    </row>
    <row r="87" spans="1:7" ht="14.5" x14ac:dyDescent="0.35">
      <c r="A87" s="5">
        <v>36</v>
      </c>
      <c r="B87" s="5" t="s">
        <v>455</v>
      </c>
      <c r="C87" s="5" t="s">
        <v>456</v>
      </c>
      <c r="D87" s="5" t="s">
        <v>30</v>
      </c>
      <c r="E87" s="5" t="s">
        <v>76</v>
      </c>
      <c r="F87" s="5" t="s">
        <v>61</v>
      </c>
      <c r="G87" s="5" t="s">
        <v>263</v>
      </c>
    </row>
    <row r="88" spans="1:7" ht="14.5" hidden="1" x14ac:dyDescent="0.35">
      <c r="A88" s="5">
        <v>36</v>
      </c>
      <c r="B88" s="5" t="s">
        <v>457</v>
      </c>
      <c r="C88" s="5" t="s">
        <v>458</v>
      </c>
      <c r="D88" s="5" t="s">
        <v>30</v>
      </c>
      <c r="E88" s="5" t="s">
        <v>459</v>
      </c>
      <c r="F88" s="5" t="s">
        <v>146</v>
      </c>
      <c r="G88" s="5" t="s">
        <v>266</v>
      </c>
    </row>
    <row r="89" spans="1:7" ht="14.5" x14ac:dyDescent="0.35">
      <c r="A89" s="5">
        <v>37</v>
      </c>
      <c r="B89" s="5" t="s">
        <v>460</v>
      </c>
      <c r="C89" s="5" t="s">
        <v>461</v>
      </c>
      <c r="D89" s="5" t="s">
        <v>30</v>
      </c>
      <c r="E89" s="5" t="s">
        <v>69</v>
      </c>
      <c r="F89" s="5" t="s">
        <v>462</v>
      </c>
      <c r="G89" s="5" t="s">
        <v>263</v>
      </c>
    </row>
    <row r="90" spans="1:7" ht="14.5" hidden="1" x14ac:dyDescent="0.35">
      <c r="A90" s="5">
        <v>37</v>
      </c>
      <c r="B90" s="5" t="s">
        <v>463</v>
      </c>
      <c r="C90" s="5" t="s">
        <v>464</v>
      </c>
      <c r="D90" s="5" t="s">
        <v>30</v>
      </c>
      <c r="E90" s="5" t="s">
        <v>148</v>
      </c>
      <c r="F90" s="5" t="s">
        <v>465</v>
      </c>
      <c r="G90" s="5" t="s">
        <v>266</v>
      </c>
    </row>
    <row r="91" spans="1:7" ht="14.5" x14ac:dyDescent="0.35">
      <c r="A91" s="5">
        <v>38</v>
      </c>
      <c r="B91" s="5" t="s">
        <v>466</v>
      </c>
      <c r="C91" s="5" t="s">
        <v>467</v>
      </c>
      <c r="D91" s="5" t="s">
        <v>30</v>
      </c>
      <c r="E91" s="5" t="s">
        <v>150</v>
      </c>
      <c r="F91" s="5" t="s">
        <v>462</v>
      </c>
      <c r="G91" s="5" t="s">
        <v>263</v>
      </c>
    </row>
    <row r="92" spans="1:7" ht="14.5" hidden="1" x14ac:dyDescent="0.35">
      <c r="A92" s="5">
        <v>38</v>
      </c>
      <c r="B92" s="5" t="s">
        <v>468</v>
      </c>
      <c r="C92" s="5" t="s">
        <v>464</v>
      </c>
      <c r="D92" s="5" t="s">
        <v>30</v>
      </c>
      <c r="E92" s="5" t="s">
        <v>148</v>
      </c>
      <c r="F92" s="5" t="s">
        <v>465</v>
      </c>
      <c r="G92" s="5" t="s">
        <v>266</v>
      </c>
    </row>
    <row r="93" spans="1:7" ht="14.5" x14ac:dyDescent="0.35">
      <c r="A93" s="5">
        <v>39</v>
      </c>
      <c r="B93" s="5" t="s">
        <v>469</v>
      </c>
      <c r="C93" s="5" t="s">
        <v>470</v>
      </c>
      <c r="D93" s="5" t="s">
        <v>30</v>
      </c>
      <c r="E93" s="5" t="s">
        <v>151</v>
      </c>
      <c r="F93" s="5" t="s">
        <v>471</v>
      </c>
      <c r="G93" s="5" t="s">
        <v>263</v>
      </c>
    </row>
    <row r="94" spans="1:7" ht="14.5" hidden="1" x14ac:dyDescent="0.35">
      <c r="A94" s="5">
        <v>39</v>
      </c>
      <c r="B94" s="5" t="s">
        <v>472</v>
      </c>
      <c r="C94" s="5" t="s">
        <v>473</v>
      </c>
      <c r="D94" s="5" t="s">
        <v>30</v>
      </c>
      <c r="E94" s="5" t="s">
        <v>474</v>
      </c>
      <c r="F94" s="5" t="s">
        <v>274</v>
      </c>
      <c r="G94" s="5" t="s">
        <v>266</v>
      </c>
    </row>
    <row r="95" spans="1:7" ht="14.5" hidden="1" x14ac:dyDescent="0.35">
      <c r="A95" s="5">
        <v>39</v>
      </c>
      <c r="B95" s="5" t="s">
        <v>475</v>
      </c>
      <c r="C95" s="5" t="s">
        <v>473</v>
      </c>
      <c r="D95" s="5" t="s">
        <v>30</v>
      </c>
      <c r="E95" s="5" t="s">
        <v>476</v>
      </c>
      <c r="F95" s="5" t="s">
        <v>274</v>
      </c>
      <c r="G95" s="5" t="s">
        <v>266</v>
      </c>
    </row>
    <row r="96" spans="1:7" ht="14.5" hidden="1" x14ac:dyDescent="0.35">
      <c r="A96" s="5">
        <v>39</v>
      </c>
      <c r="B96" s="5" t="s">
        <v>477</v>
      </c>
      <c r="C96" s="5" t="s">
        <v>473</v>
      </c>
      <c r="D96" s="5" t="s">
        <v>30</v>
      </c>
      <c r="E96" s="5" t="s">
        <v>478</v>
      </c>
      <c r="F96" s="5" t="s">
        <v>274</v>
      </c>
      <c r="G96" s="5" t="s">
        <v>266</v>
      </c>
    </row>
    <row r="97" spans="1:7" ht="14.5" x14ac:dyDescent="0.35">
      <c r="A97" s="5">
        <v>40</v>
      </c>
      <c r="B97" s="5" t="s">
        <v>479</v>
      </c>
      <c r="C97" s="5" t="s">
        <v>480</v>
      </c>
      <c r="D97" s="5" t="s">
        <v>156</v>
      </c>
      <c r="E97" s="5" t="s">
        <v>481</v>
      </c>
      <c r="F97" s="5" t="s">
        <v>274</v>
      </c>
      <c r="G97" s="5" t="s">
        <v>263</v>
      </c>
    </row>
    <row r="98" spans="1:7" ht="14.5" hidden="1" x14ac:dyDescent="0.35">
      <c r="A98" s="5">
        <v>40</v>
      </c>
      <c r="B98" s="5" t="s">
        <v>482</v>
      </c>
      <c r="C98" s="5" t="s">
        <v>483</v>
      </c>
      <c r="D98" s="5" t="s">
        <v>156</v>
      </c>
      <c r="E98" s="5" t="s">
        <v>46</v>
      </c>
      <c r="F98" s="5" t="s">
        <v>158</v>
      </c>
      <c r="G98" s="5" t="s">
        <v>266</v>
      </c>
    </row>
    <row r="99" spans="1:7" ht="14.5" x14ac:dyDescent="0.35">
      <c r="A99" s="5">
        <v>41</v>
      </c>
      <c r="B99" s="5" t="s">
        <v>484</v>
      </c>
      <c r="C99" s="5" t="s">
        <v>485</v>
      </c>
      <c r="D99" s="5" t="s">
        <v>159</v>
      </c>
      <c r="E99" s="5" t="s">
        <v>38</v>
      </c>
      <c r="F99" s="5" t="s">
        <v>160</v>
      </c>
      <c r="G99" s="5" t="s">
        <v>263</v>
      </c>
    </row>
    <row r="100" spans="1:7" ht="14.5" hidden="1" x14ac:dyDescent="0.35">
      <c r="A100" s="5">
        <v>41</v>
      </c>
      <c r="B100" s="5" t="s">
        <v>486</v>
      </c>
      <c r="C100" s="5" t="s">
        <v>487</v>
      </c>
      <c r="D100" s="5" t="s">
        <v>159</v>
      </c>
      <c r="E100" s="5" t="s">
        <v>161</v>
      </c>
      <c r="F100" s="5" t="s">
        <v>162</v>
      </c>
      <c r="G100" s="5" t="s">
        <v>266</v>
      </c>
    </row>
    <row r="101" spans="1:7" ht="14.5" hidden="1" x14ac:dyDescent="0.35">
      <c r="A101" s="5">
        <v>41</v>
      </c>
      <c r="B101" s="5" t="s">
        <v>488</v>
      </c>
      <c r="C101" s="5" t="s">
        <v>487</v>
      </c>
      <c r="D101" s="5" t="s">
        <v>159</v>
      </c>
      <c r="E101" s="5" t="s">
        <v>161</v>
      </c>
      <c r="F101" s="5" t="s">
        <v>163</v>
      </c>
      <c r="G101" s="5" t="s">
        <v>266</v>
      </c>
    </row>
    <row r="102" spans="1:7" ht="14.5" x14ac:dyDescent="0.35">
      <c r="A102" s="5">
        <v>42</v>
      </c>
      <c r="B102" s="5" t="s">
        <v>489</v>
      </c>
      <c r="C102" s="5" t="s">
        <v>490</v>
      </c>
      <c r="D102" s="5" t="s">
        <v>30</v>
      </c>
      <c r="E102" s="5" t="s">
        <v>38</v>
      </c>
      <c r="F102" s="5" t="s">
        <v>391</v>
      </c>
      <c r="G102" s="5" t="s">
        <v>263</v>
      </c>
    </row>
    <row r="103" spans="1:7" ht="14.5" hidden="1" x14ac:dyDescent="0.35">
      <c r="A103" s="5">
        <v>42</v>
      </c>
      <c r="B103" s="5" t="s">
        <v>491</v>
      </c>
      <c r="C103" s="5" t="s">
        <v>492</v>
      </c>
      <c r="D103" s="5" t="s">
        <v>30</v>
      </c>
      <c r="E103" s="5" t="s">
        <v>54</v>
      </c>
      <c r="F103" s="5" t="s">
        <v>164</v>
      </c>
      <c r="G103" s="5" t="s">
        <v>266</v>
      </c>
    </row>
    <row r="104" spans="1:7" ht="14.5" x14ac:dyDescent="0.35">
      <c r="A104" s="5">
        <v>43</v>
      </c>
      <c r="B104" s="5" t="s">
        <v>493</v>
      </c>
      <c r="C104" s="5" t="s">
        <v>494</v>
      </c>
      <c r="D104" s="5" t="s">
        <v>165</v>
      </c>
      <c r="E104" s="5" t="s">
        <v>166</v>
      </c>
      <c r="F104" s="5" t="s">
        <v>63</v>
      </c>
      <c r="G104" s="5" t="s">
        <v>263</v>
      </c>
    </row>
    <row r="105" spans="1:7" ht="14.5" hidden="1" x14ac:dyDescent="0.35">
      <c r="A105" s="5">
        <v>43</v>
      </c>
      <c r="B105" s="5" t="s">
        <v>495</v>
      </c>
      <c r="C105" s="5" t="s">
        <v>496</v>
      </c>
      <c r="D105" s="5" t="s">
        <v>165</v>
      </c>
      <c r="E105" s="5" t="s">
        <v>46</v>
      </c>
      <c r="F105" s="5" t="s">
        <v>192</v>
      </c>
      <c r="G105" s="5" t="s">
        <v>266</v>
      </c>
    </row>
    <row r="106" spans="1:7" ht="14.5" hidden="1" x14ac:dyDescent="0.35">
      <c r="A106" s="5">
        <v>43</v>
      </c>
      <c r="B106" s="5" t="s">
        <v>497</v>
      </c>
      <c r="C106" s="5" t="s">
        <v>496</v>
      </c>
      <c r="D106" s="5" t="s">
        <v>165</v>
      </c>
      <c r="E106" s="5" t="s">
        <v>498</v>
      </c>
      <c r="F106" s="5" t="s">
        <v>192</v>
      </c>
      <c r="G106" s="5" t="s">
        <v>266</v>
      </c>
    </row>
    <row r="107" spans="1:7" ht="14.5" x14ac:dyDescent="0.35">
      <c r="A107" s="5">
        <v>44</v>
      </c>
      <c r="B107" s="5" t="s">
        <v>499</v>
      </c>
      <c r="C107" s="5" t="s">
        <v>500</v>
      </c>
      <c r="D107" s="5" t="s">
        <v>501</v>
      </c>
      <c r="E107" s="5" t="s">
        <v>38</v>
      </c>
      <c r="F107" s="5" t="s">
        <v>171</v>
      </c>
      <c r="G107" s="5" t="s">
        <v>263</v>
      </c>
    </row>
    <row r="108" spans="1:7" ht="14.5" hidden="1" x14ac:dyDescent="0.35">
      <c r="A108" s="5">
        <v>44</v>
      </c>
      <c r="B108" s="5" t="s">
        <v>502</v>
      </c>
      <c r="C108" s="5" t="s">
        <v>503</v>
      </c>
      <c r="D108" s="5" t="s">
        <v>501</v>
      </c>
      <c r="E108" s="5" t="s">
        <v>26</v>
      </c>
      <c r="F108" s="5" t="s">
        <v>172</v>
      </c>
      <c r="G108" s="5" t="s">
        <v>266</v>
      </c>
    </row>
    <row r="109" spans="1:7" ht="14.5" x14ac:dyDescent="0.35">
      <c r="A109" s="5">
        <v>45</v>
      </c>
      <c r="B109" s="5" t="s">
        <v>504</v>
      </c>
      <c r="C109" s="5" t="s">
        <v>505</v>
      </c>
      <c r="D109" s="5" t="s">
        <v>112</v>
      </c>
      <c r="E109" s="5" t="s">
        <v>38</v>
      </c>
      <c r="F109" s="5" t="s">
        <v>171</v>
      </c>
      <c r="G109" s="5" t="s">
        <v>263</v>
      </c>
    </row>
    <row r="110" spans="1:7" ht="14.5" hidden="1" x14ac:dyDescent="0.35">
      <c r="A110" s="5">
        <v>45</v>
      </c>
      <c r="B110" s="5" t="s">
        <v>506</v>
      </c>
      <c r="C110" s="5" t="s">
        <v>503</v>
      </c>
      <c r="D110" s="5" t="s">
        <v>112</v>
      </c>
      <c r="E110" s="5" t="s">
        <v>26</v>
      </c>
      <c r="F110" s="5" t="s">
        <v>172</v>
      </c>
      <c r="G110" s="5" t="s">
        <v>266</v>
      </c>
    </row>
    <row r="111" spans="1:7" ht="14.5" x14ac:dyDescent="0.35">
      <c r="A111" s="5">
        <v>46</v>
      </c>
      <c r="B111" s="5" t="s">
        <v>507</v>
      </c>
      <c r="C111" s="5" t="s">
        <v>508</v>
      </c>
      <c r="D111" s="5" t="s">
        <v>509</v>
      </c>
      <c r="E111" s="5" t="s">
        <v>174</v>
      </c>
      <c r="F111" s="5" t="s">
        <v>510</v>
      </c>
      <c r="G111" s="5" t="s">
        <v>263</v>
      </c>
    </row>
    <row r="112" spans="1:7" ht="14.5" hidden="1" x14ac:dyDescent="0.35">
      <c r="A112" s="5">
        <v>46</v>
      </c>
      <c r="B112" s="5" t="s">
        <v>511</v>
      </c>
      <c r="C112" s="5" t="s">
        <v>512</v>
      </c>
      <c r="D112" s="5" t="s">
        <v>509</v>
      </c>
      <c r="E112" s="5" t="s">
        <v>176</v>
      </c>
      <c r="F112" s="5" t="s">
        <v>513</v>
      </c>
      <c r="G112" s="5" t="s">
        <v>266</v>
      </c>
    </row>
    <row r="113" spans="1:7" ht="14.5" x14ac:dyDescent="0.35">
      <c r="A113" s="5">
        <v>47</v>
      </c>
      <c r="B113" s="5" t="s">
        <v>514</v>
      </c>
      <c r="C113" s="5" t="s">
        <v>515</v>
      </c>
      <c r="D113" s="5" t="s">
        <v>516</v>
      </c>
      <c r="E113" s="5" t="s">
        <v>174</v>
      </c>
      <c r="F113" s="5" t="s">
        <v>510</v>
      </c>
      <c r="G113" s="5" t="s">
        <v>263</v>
      </c>
    </row>
    <row r="114" spans="1:7" ht="14.5" hidden="1" x14ac:dyDescent="0.35">
      <c r="A114" s="5">
        <v>47</v>
      </c>
      <c r="B114" s="5" t="s">
        <v>517</v>
      </c>
      <c r="C114" s="5" t="s">
        <v>512</v>
      </c>
      <c r="D114" s="5" t="s">
        <v>516</v>
      </c>
      <c r="E114" s="5" t="s">
        <v>176</v>
      </c>
      <c r="F114" s="5" t="s">
        <v>513</v>
      </c>
      <c r="G114" s="5" t="s">
        <v>266</v>
      </c>
    </row>
    <row r="115" spans="1:7" ht="14.5" hidden="1" x14ac:dyDescent="0.35">
      <c r="A115" s="5">
        <v>48</v>
      </c>
      <c r="B115" s="5" t="s">
        <v>518</v>
      </c>
      <c r="C115" s="5" t="s">
        <v>519</v>
      </c>
      <c r="D115" s="5" t="s">
        <v>179</v>
      </c>
      <c r="E115" s="5" t="s">
        <v>520</v>
      </c>
      <c r="F115" s="5" t="s">
        <v>521</v>
      </c>
      <c r="G115" s="5" t="s">
        <v>266</v>
      </c>
    </row>
    <row r="116" spans="1:7" ht="14.5" x14ac:dyDescent="0.35">
      <c r="A116" s="5">
        <v>49</v>
      </c>
      <c r="B116" s="5" t="s">
        <v>522</v>
      </c>
      <c r="C116" s="5" t="s">
        <v>523</v>
      </c>
      <c r="D116" s="5" t="s">
        <v>112</v>
      </c>
      <c r="E116" s="5" t="s">
        <v>46</v>
      </c>
      <c r="F116" s="5" t="s">
        <v>524</v>
      </c>
      <c r="G116" s="5" t="s">
        <v>263</v>
      </c>
    </row>
    <row r="117" spans="1:7" ht="14.5" hidden="1" x14ac:dyDescent="0.35">
      <c r="A117" s="5">
        <v>49</v>
      </c>
      <c r="B117" s="5" t="s">
        <v>525</v>
      </c>
      <c r="C117" s="5" t="s">
        <v>526</v>
      </c>
      <c r="D117" s="5" t="s">
        <v>112</v>
      </c>
      <c r="E117" s="5" t="s">
        <v>527</v>
      </c>
      <c r="F117" s="5" t="s">
        <v>528</v>
      </c>
      <c r="G117" s="5" t="s">
        <v>266</v>
      </c>
    </row>
    <row r="118" spans="1:7" ht="14.5" hidden="1" x14ac:dyDescent="0.35">
      <c r="A118" s="5">
        <v>49</v>
      </c>
      <c r="B118" s="5" t="s">
        <v>529</v>
      </c>
      <c r="C118" s="5" t="s">
        <v>526</v>
      </c>
      <c r="D118" s="5" t="s">
        <v>112</v>
      </c>
      <c r="E118" s="5" t="s">
        <v>185</v>
      </c>
      <c r="F118" s="5" t="s">
        <v>83</v>
      </c>
      <c r="G118" s="5" t="s">
        <v>266</v>
      </c>
    </row>
    <row r="119" spans="1:7" ht="14.5" x14ac:dyDescent="0.35">
      <c r="A119" s="5">
        <v>50</v>
      </c>
      <c r="B119" s="5" t="s">
        <v>530</v>
      </c>
      <c r="C119" s="5" t="s">
        <v>531</v>
      </c>
      <c r="D119" s="5" t="s">
        <v>262</v>
      </c>
      <c r="E119" s="5" t="s">
        <v>54</v>
      </c>
      <c r="F119" s="5" t="s">
        <v>186</v>
      </c>
      <c r="G119" s="5" t="s">
        <v>263</v>
      </c>
    </row>
    <row r="120" spans="1:7" ht="14.5" x14ac:dyDescent="0.35">
      <c r="A120" s="5">
        <v>51</v>
      </c>
      <c r="B120" s="5" t="s">
        <v>532</v>
      </c>
      <c r="C120" s="5" t="s">
        <v>533</v>
      </c>
      <c r="D120" s="5" t="s">
        <v>262</v>
      </c>
      <c r="E120" s="5" t="s">
        <v>38</v>
      </c>
      <c r="F120" s="5" t="s">
        <v>171</v>
      </c>
      <c r="G120" s="5" t="s">
        <v>263</v>
      </c>
    </row>
    <row r="121" spans="1:7" ht="14.5" hidden="1" x14ac:dyDescent="0.35">
      <c r="A121" s="5">
        <v>51</v>
      </c>
      <c r="B121" s="5" t="s">
        <v>534</v>
      </c>
      <c r="C121" s="5" t="s">
        <v>503</v>
      </c>
      <c r="D121" s="5" t="s">
        <v>262</v>
      </c>
      <c r="E121" s="5" t="s">
        <v>26</v>
      </c>
      <c r="F121" s="5" t="s">
        <v>172</v>
      </c>
      <c r="G121" s="5" t="s">
        <v>266</v>
      </c>
    </row>
    <row r="122" spans="1:7" ht="14.5" x14ac:dyDescent="0.35">
      <c r="A122" s="5">
        <v>52</v>
      </c>
      <c r="B122" s="5" t="s">
        <v>535</v>
      </c>
      <c r="C122" s="5" t="s">
        <v>536</v>
      </c>
      <c r="D122" s="5" t="s">
        <v>537</v>
      </c>
      <c r="E122" s="5" t="s">
        <v>108</v>
      </c>
      <c r="F122" s="5" t="s">
        <v>465</v>
      </c>
      <c r="G122" s="5" t="s">
        <v>263</v>
      </c>
    </row>
    <row r="123" spans="1:7" ht="14.5" hidden="1" x14ac:dyDescent="0.35">
      <c r="A123" s="5">
        <v>52</v>
      </c>
      <c r="B123" s="5" t="s">
        <v>538</v>
      </c>
      <c r="C123" s="5" t="s">
        <v>539</v>
      </c>
      <c r="D123" s="5" t="s">
        <v>537</v>
      </c>
      <c r="E123" s="5" t="s">
        <v>188</v>
      </c>
      <c r="F123" s="5" t="s">
        <v>540</v>
      </c>
      <c r="G123" s="5" t="s">
        <v>266</v>
      </c>
    </row>
    <row r="124" spans="1:7" ht="14.5" hidden="1" x14ac:dyDescent="0.35">
      <c r="A124" s="5">
        <v>52</v>
      </c>
      <c r="B124" s="5" t="s">
        <v>541</v>
      </c>
      <c r="C124" s="5" t="s">
        <v>539</v>
      </c>
      <c r="D124" s="5" t="s">
        <v>537</v>
      </c>
      <c r="E124" s="5" t="s">
        <v>59</v>
      </c>
      <c r="F124" s="5" t="s">
        <v>540</v>
      </c>
      <c r="G124" s="5" t="s">
        <v>266</v>
      </c>
    </row>
    <row r="125" spans="1:7" ht="14.5" hidden="1" x14ac:dyDescent="0.35">
      <c r="A125" s="5">
        <v>52</v>
      </c>
      <c r="B125" s="5" t="s">
        <v>542</v>
      </c>
      <c r="C125" s="5" t="s">
        <v>539</v>
      </c>
      <c r="D125" s="5" t="s">
        <v>537</v>
      </c>
      <c r="E125" s="5" t="s">
        <v>191</v>
      </c>
      <c r="F125" s="5" t="s">
        <v>274</v>
      </c>
      <c r="G125" s="5" t="s">
        <v>266</v>
      </c>
    </row>
    <row r="126" spans="1:7" ht="14.5" x14ac:dyDescent="0.35">
      <c r="A126" s="5">
        <v>53</v>
      </c>
      <c r="B126" s="5" t="s">
        <v>543</v>
      </c>
      <c r="C126" s="5" t="s">
        <v>544</v>
      </c>
      <c r="D126" s="5" t="s">
        <v>192</v>
      </c>
      <c r="E126" s="5" t="s">
        <v>193</v>
      </c>
      <c r="F126" s="5" t="s">
        <v>70</v>
      </c>
      <c r="G126" s="5" t="s">
        <v>263</v>
      </c>
    </row>
    <row r="127" spans="1:7" ht="14.5" hidden="1" x14ac:dyDescent="0.35">
      <c r="A127" s="5">
        <v>53</v>
      </c>
      <c r="B127" s="5" t="s">
        <v>545</v>
      </c>
      <c r="C127" s="5" t="s">
        <v>546</v>
      </c>
      <c r="D127" s="5" t="s">
        <v>192</v>
      </c>
      <c r="E127" s="5" t="s">
        <v>194</v>
      </c>
      <c r="F127" s="5" t="s">
        <v>195</v>
      </c>
      <c r="G127" s="5" t="s">
        <v>266</v>
      </c>
    </row>
    <row r="128" spans="1:7" ht="14.5" x14ac:dyDescent="0.35">
      <c r="A128" s="5">
        <v>54</v>
      </c>
      <c r="B128" s="5" t="s">
        <v>547</v>
      </c>
      <c r="C128" s="5" t="s">
        <v>548</v>
      </c>
      <c r="D128" s="5" t="s">
        <v>30</v>
      </c>
      <c r="E128" s="5" t="s">
        <v>38</v>
      </c>
      <c r="F128" s="5" t="s">
        <v>196</v>
      </c>
      <c r="G128" s="5" t="s">
        <v>263</v>
      </c>
    </row>
    <row r="129" spans="1:7" ht="14.5" hidden="1" x14ac:dyDescent="0.35">
      <c r="A129" s="5">
        <v>54</v>
      </c>
      <c r="B129" s="5" t="s">
        <v>549</v>
      </c>
      <c r="C129" s="5" t="s">
        <v>550</v>
      </c>
      <c r="D129" s="5" t="s">
        <v>30</v>
      </c>
      <c r="E129" s="5" t="s">
        <v>54</v>
      </c>
      <c r="F129" s="5" t="s">
        <v>551</v>
      </c>
      <c r="G129" s="5" t="s">
        <v>266</v>
      </c>
    </row>
    <row r="130" spans="1:7" ht="14.5" x14ac:dyDescent="0.35">
      <c r="A130" s="5">
        <v>55</v>
      </c>
      <c r="B130" s="5" t="s">
        <v>552</v>
      </c>
      <c r="C130" s="5" t="s">
        <v>553</v>
      </c>
      <c r="D130" s="5" t="s">
        <v>262</v>
      </c>
      <c r="E130" s="5" t="s">
        <v>38</v>
      </c>
      <c r="F130" s="5" t="s">
        <v>81</v>
      </c>
      <c r="G130" s="5" t="s">
        <v>263</v>
      </c>
    </row>
    <row r="131" spans="1:7" ht="14.5" hidden="1" x14ac:dyDescent="0.35">
      <c r="A131" s="5">
        <v>55</v>
      </c>
      <c r="B131" s="5" t="s">
        <v>554</v>
      </c>
      <c r="C131" s="5" t="s">
        <v>555</v>
      </c>
      <c r="D131" s="5" t="s">
        <v>262</v>
      </c>
      <c r="E131" s="5" t="s">
        <v>38</v>
      </c>
      <c r="F131" s="5" t="s">
        <v>198</v>
      </c>
      <c r="G131" s="5" t="s">
        <v>266</v>
      </c>
    </row>
    <row r="132" spans="1:7" ht="14.5" x14ac:dyDescent="0.35">
      <c r="A132" s="5">
        <v>56</v>
      </c>
      <c r="B132" s="5" t="s">
        <v>556</v>
      </c>
      <c r="C132" s="5" t="s">
        <v>557</v>
      </c>
      <c r="D132" s="5" t="s">
        <v>37</v>
      </c>
      <c r="E132" s="5" t="s">
        <v>60</v>
      </c>
      <c r="F132" s="5" t="s">
        <v>418</v>
      </c>
      <c r="G132" s="5" t="s">
        <v>263</v>
      </c>
    </row>
    <row r="133" spans="1:7" ht="14.5" x14ac:dyDescent="0.35">
      <c r="A133" s="5">
        <v>56</v>
      </c>
      <c r="B133" s="5" t="s">
        <v>558</v>
      </c>
      <c r="C133" s="5" t="s">
        <v>557</v>
      </c>
      <c r="D133" s="5" t="s">
        <v>37</v>
      </c>
      <c r="E133" s="5" t="s">
        <v>60</v>
      </c>
      <c r="F133" s="5" t="s">
        <v>199</v>
      </c>
      <c r="G133" s="5" t="s">
        <v>263</v>
      </c>
    </row>
    <row r="134" spans="1:7" ht="14.5" hidden="1" x14ac:dyDescent="0.35">
      <c r="A134" s="5">
        <v>56</v>
      </c>
      <c r="B134" s="5" t="s">
        <v>559</v>
      </c>
      <c r="C134" s="5" t="s">
        <v>560</v>
      </c>
      <c r="D134" s="5" t="s">
        <v>37</v>
      </c>
      <c r="E134" s="5" t="s">
        <v>561</v>
      </c>
      <c r="F134" s="5" t="s">
        <v>274</v>
      </c>
      <c r="G134" s="5" t="s">
        <v>266</v>
      </c>
    </row>
    <row r="135" spans="1:7" ht="14.5" hidden="1" x14ac:dyDescent="0.35">
      <c r="A135" s="5">
        <v>56</v>
      </c>
      <c r="B135" s="5" t="s">
        <v>562</v>
      </c>
      <c r="C135" s="5" t="s">
        <v>560</v>
      </c>
      <c r="D135" s="5" t="s">
        <v>37</v>
      </c>
      <c r="E135" s="5" t="s">
        <v>373</v>
      </c>
      <c r="F135" s="5" t="s">
        <v>274</v>
      </c>
      <c r="G135" s="5" t="s">
        <v>266</v>
      </c>
    </row>
    <row r="136" spans="1:7" ht="14.5" hidden="1" x14ac:dyDescent="0.35">
      <c r="A136" s="5">
        <v>57</v>
      </c>
      <c r="B136" s="5" t="s">
        <v>563</v>
      </c>
      <c r="C136" s="5" t="s">
        <v>564</v>
      </c>
      <c r="D136" s="5" t="s">
        <v>86</v>
      </c>
      <c r="E136" s="5" t="s">
        <v>565</v>
      </c>
      <c r="F136" s="5" t="s">
        <v>203</v>
      </c>
      <c r="G136" s="5" t="s">
        <v>266</v>
      </c>
    </row>
    <row r="137" spans="1:7" ht="14.5" x14ac:dyDescent="0.35">
      <c r="A137" s="5">
        <v>58</v>
      </c>
      <c r="B137" s="5" t="s">
        <v>566</v>
      </c>
      <c r="C137" s="5" t="s">
        <v>349</v>
      </c>
      <c r="D137" s="5" t="s">
        <v>37</v>
      </c>
      <c r="E137" s="5" t="s">
        <v>38</v>
      </c>
      <c r="F137" s="5" t="s">
        <v>350</v>
      </c>
      <c r="G137" s="5" t="s">
        <v>263</v>
      </c>
    </row>
    <row r="138" spans="1:7" ht="14.5" x14ac:dyDescent="0.35">
      <c r="A138" s="5">
        <v>59</v>
      </c>
      <c r="B138" s="5" t="s">
        <v>567</v>
      </c>
      <c r="C138" s="5" t="s">
        <v>357</v>
      </c>
      <c r="D138" s="5" t="s">
        <v>301</v>
      </c>
      <c r="E138" s="5" t="s">
        <v>38</v>
      </c>
      <c r="F138" s="5" t="s">
        <v>350</v>
      </c>
      <c r="G138" s="5" t="s">
        <v>263</v>
      </c>
    </row>
    <row r="139" spans="1:7" ht="14.5" x14ac:dyDescent="0.35">
      <c r="A139" s="5">
        <v>60</v>
      </c>
      <c r="B139" s="5" t="s">
        <v>568</v>
      </c>
      <c r="C139" s="5" t="s">
        <v>569</v>
      </c>
      <c r="D139" s="5" t="s">
        <v>301</v>
      </c>
      <c r="E139" s="5" t="s">
        <v>38</v>
      </c>
      <c r="F139" s="5" t="s">
        <v>39</v>
      </c>
      <c r="G139" s="5" t="s">
        <v>263</v>
      </c>
    </row>
    <row r="140" spans="1:7" ht="14.5" hidden="1" x14ac:dyDescent="0.35">
      <c r="A140" s="5">
        <v>60</v>
      </c>
      <c r="B140" s="5" t="s">
        <v>570</v>
      </c>
      <c r="C140" s="5" t="s">
        <v>571</v>
      </c>
      <c r="D140" s="5" t="s">
        <v>301</v>
      </c>
      <c r="E140" s="5" t="s">
        <v>215</v>
      </c>
      <c r="F140" s="5" t="s">
        <v>274</v>
      </c>
      <c r="G140" s="5" t="s">
        <v>266</v>
      </c>
    </row>
    <row r="141" spans="1:7" ht="14.5" hidden="1" x14ac:dyDescent="0.35">
      <c r="A141" s="5">
        <v>60</v>
      </c>
      <c r="B141" s="5" t="s">
        <v>572</v>
      </c>
      <c r="C141" s="5" t="s">
        <v>571</v>
      </c>
      <c r="D141" s="5" t="s">
        <v>301</v>
      </c>
      <c r="E141" s="5" t="s">
        <v>90</v>
      </c>
      <c r="F141" s="5" t="s">
        <v>573</v>
      </c>
      <c r="G141" s="5" t="s">
        <v>266</v>
      </c>
    </row>
    <row r="142" spans="1:7" ht="14.5" hidden="1" x14ac:dyDescent="0.35">
      <c r="A142" s="5">
        <v>60</v>
      </c>
      <c r="B142" s="5" t="s">
        <v>574</v>
      </c>
      <c r="C142" s="5" t="s">
        <v>571</v>
      </c>
      <c r="D142" s="5" t="s">
        <v>301</v>
      </c>
      <c r="E142" s="5" t="s">
        <v>90</v>
      </c>
      <c r="F142" s="5" t="s">
        <v>355</v>
      </c>
      <c r="G142" s="5" t="s">
        <v>266</v>
      </c>
    </row>
    <row r="143" spans="1:7" ht="14.5" hidden="1" x14ac:dyDescent="0.35">
      <c r="A143" s="5">
        <v>61</v>
      </c>
      <c r="B143" s="5" t="s">
        <v>575</v>
      </c>
      <c r="C143" s="5" t="s">
        <v>576</v>
      </c>
      <c r="D143" s="5" t="s">
        <v>37</v>
      </c>
      <c r="E143" s="5" t="s">
        <v>379</v>
      </c>
      <c r="F143" s="5" t="s">
        <v>577</v>
      </c>
      <c r="G143" s="5" t="s">
        <v>266</v>
      </c>
    </row>
    <row r="144" spans="1:7" ht="14.5" x14ac:dyDescent="0.35">
      <c r="A144" s="5">
        <v>62</v>
      </c>
      <c r="B144" s="5" t="s">
        <v>578</v>
      </c>
      <c r="C144" s="5" t="s">
        <v>579</v>
      </c>
      <c r="D144" s="5" t="s">
        <v>301</v>
      </c>
      <c r="E144" s="5" t="s">
        <v>38</v>
      </c>
      <c r="F144" s="5" t="s">
        <v>580</v>
      </c>
      <c r="G144" s="5" t="s">
        <v>263</v>
      </c>
    </row>
    <row r="145" spans="1:7" ht="14.5" hidden="1" x14ac:dyDescent="0.35">
      <c r="A145" s="5">
        <v>62</v>
      </c>
      <c r="B145" s="5" t="s">
        <v>581</v>
      </c>
      <c r="C145" s="5" t="s">
        <v>582</v>
      </c>
      <c r="D145" s="5" t="s">
        <v>301</v>
      </c>
      <c r="E145" s="5" t="s">
        <v>90</v>
      </c>
      <c r="F145" s="5" t="s">
        <v>583</v>
      </c>
      <c r="G145" s="5" t="s">
        <v>266</v>
      </c>
    </row>
    <row r="146" spans="1:7" ht="14.5" hidden="1" x14ac:dyDescent="0.35">
      <c r="A146" s="5">
        <v>62</v>
      </c>
      <c r="B146" s="5" t="s">
        <v>584</v>
      </c>
      <c r="C146" s="5" t="s">
        <v>582</v>
      </c>
      <c r="D146" s="5" t="s">
        <v>301</v>
      </c>
      <c r="E146" s="5" t="s">
        <v>90</v>
      </c>
      <c r="F146" s="5" t="s">
        <v>355</v>
      </c>
      <c r="G146" s="5" t="s">
        <v>266</v>
      </c>
    </row>
    <row r="147" spans="1:7" ht="14.5" x14ac:dyDescent="0.35">
      <c r="A147" s="5">
        <v>63</v>
      </c>
      <c r="B147" s="5" t="s">
        <v>585</v>
      </c>
      <c r="C147" s="5" t="s">
        <v>586</v>
      </c>
      <c r="D147" s="5" t="s">
        <v>301</v>
      </c>
      <c r="E147" s="5" t="s">
        <v>38</v>
      </c>
      <c r="F147" s="5" t="s">
        <v>209</v>
      </c>
      <c r="G147" s="5" t="s">
        <v>263</v>
      </c>
    </row>
    <row r="148" spans="1:7" ht="14.5" hidden="1" x14ac:dyDescent="0.35">
      <c r="A148" s="5">
        <v>63</v>
      </c>
      <c r="B148" s="5" t="s">
        <v>587</v>
      </c>
      <c r="C148" s="5" t="s">
        <v>582</v>
      </c>
      <c r="D148" s="5" t="s">
        <v>301</v>
      </c>
      <c r="E148" s="5" t="s">
        <v>588</v>
      </c>
      <c r="F148" s="5" t="s">
        <v>274</v>
      </c>
      <c r="G148" s="5" t="s">
        <v>266</v>
      </c>
    </row>
    <row r="149" spans="1:7" ht="14.5" hidden="1" x14ac:dyDescent="0.35">
      <c r="A149" s="5">
        <v>63</v>
      </c>
      <c r="B149" s="5" t="s">
        <v>589</v>
      </c>
      <c r="C149" s="5" t="s">
        <v>582</v>
      </c>
      <c r="D149" s="5" t="s">
        <v>301</v>
      </c>
      <c r="E149" s="5" t="s">
        <v>215</v>
      </c>
      <c r="F149" s="5" t="s">
        <v>274</v>
      </c>
      <c r="G149" s="5" t="s">
        <v>266</v>
      </c>
    </row>
    <row r="150" spans="1:7" ht="14.5" x14ac:dyDescent="0.35">
      <c r="A150" s="5">
        <v>63</v>
      </c>
      <c r="B150" s="5" t="s">
        <v>590</v>
      </c>
      <c r="C150" s="5" t="s">
        <v>586</v>
      </c>
      <c r="D150" s="5" t="s">
        <v>301</v>
      </c>
      <c r="E150" s="5" t="s">
        <v>38</v>
      </c>
      <c r="F150" s="5" t="s">
        <v>210</v>
      </c>
      <c r="G150" s="5" t="s">
        <v>263</v>
      </c>
    </row>
    <row r="151" spans="1:7" ht="14.5" hidden="1" x14ac:dyDescent="0.35">
      <c r="A151" s="5">
        <v>63</v>
      </c>
      <c r="B151" s="5" t="s">
        <v>591</v>
      </c>
      <c r="C151" s="5" t="s">
        <v>582</v>
      </c>
      <c r="D151" s="5" t="s">
        <v>301</v>
      </c>
      <c r="E151" s="5" t="s">
        <v>90</v>
      </c>
      <c r="F151" s="5" t="s">
        <v>583</v>
      </c>
      <c r="G151" s="5" t="s">
        <v>266</v>
      </c>
    </row>
    <row r="152" spans="1:7" ht="14.5" hidden="1" x14ac:dyDescent="0.35">
      <c r="A152" s="5">
        <v>63</v>
      </c>
      <c r="B152" s="5" t="s">
        <v>592</v>
      </c>
      <c r="C152" s="5" t="s">
        <v>582</v>
      </c>
      <c r="D152" s="5" t="s">
        <v>301</v>
      </c>
      <c r="E152" s="5" t="s">
        <v>90</v>
      </c>
      <c r="F152" s="5" t="s">
        <v>355</v>
      </c>
      <c r="G152" s="5" t="s">
        <v>266</v>
      </c>
    </row>
    <row r="153" spans="1:7" ht="14.5" x14ac:dyDescent="0.35">
      <c r="A153" s="5">
        <v>64</v>
      </c>
      <c r="B153" s="5" t="s">
        <v>593</v>
      </c>
      <c r="C153" s="5" t="s">
        <v>594</v>
      </c>
      <c r="D153" s="5" t="s">
        <v>37</v>
      </c>
      <c r="E153" s="5" t="s">
        <v>38</v>
      </c>
      <c r="F153" s="5" t="s">
        <v>70</v>
      </c>
      <c r="G153" s="5" t="s">
        <v>263</v>
      </c>
    </row>
    <row r="154" spans="1:7" ht="14.5" hidden="1" x14ac:dyDescent="0.35">
      <c r="A154" s="5">
        <v>64</v>
      </c>
      <c r="B154" s="5" t="s">
        <v>595</v>
      </c>
      <c r="C154" s="5" t="s">
        <v>596</v>
      </c>
      <c r="D154" s="5" t="s">
        <v>37</v>
      </c>
      <c r="E154" s="5" t="s">
        <v>561</v>
      </c>
      <c r="F154" s="5" t="s">
        <v>274</v>
      </c>
      <c r="G154" s="5" t="s">
        <v>266</v>
      </c>
    </row>
    <row r="155" spans="1:7" ht="14.5" hidden="1" x14ac:dyDescent="0.35">
      <c r="A155" s="5">
        <v>64</v>
      </c>
      <c r="B155" s="5" t="s">
        <v>597</v>
      </c>
      <c r="C155" s="5" t="s">
        <v>596</v>
      </c>
      <c r="D155" s="5" t="s">
        <v>37</v>
      </c>
      <c r="E155" s="5" t="s">
        <v>561</v>
      </c>
      <c r="F155" s="5" t="s">
        <v>274</v>
      </c>
      <c r="G155" s="5" t="s">
        <v>266</v>
      </c>
    </row>
    <row r="156" spans="1:7" ht="14.5" x14ac:dyDescent="0.35">
      <c r="A156" s="5">
        <v>65</v>
      </c>
      <c r="B156" s="5" t="s">
        <v>598</v>
      </c>
      <c r="C156" s="5" t="s">
        <v>599</v>
      </c>
      <c r="D156" s="5" t="s">
        <v>37</v>
      </c>
      <c r="E156" s="5" t="s">
        <v>38</v>
      </c>
      <c r="F156" s="5" t="s">
        <v>580</v>
      </c>
      <c r="G156" s="5" t="s">
        <v>263</v>
      </c>
    </row>
    <row r="157" spans="1:7" ht="14.5" hidden="1" x14ac:dyDescent="0.35">
      <c r="A157" s="5">
        <v>65</v>
      </c>
      <c r="B157" s="5" t="s">
        <v>600</v>
      </c>
      <c r="C157" s="5" t="s">
        <v>601</v>
      </c>
      <c r="D157" s="5" t="s">
        <v>37</v>
      </c>
      <c r="E157" s="5" t="s">
        <v>38</v>
      </c>
      <c r="F157" s="5" t="s">
        <v>210</v>
      </c>
      <c r="G157" s="5" t="s">
        <v>266</v>
      </c>
    </row>
    <row r="158" spans="1:7" ht="14.5" hidden="1" x14ac:dyDescent="0.35">
      <c r="A158" s="5">
        <v>65</v>
      </c>
      <c r="B158" s="5" t="s">
        <v>602</v>
      </c>
      <c r="C158" s="5" t="s">
        <v>601</v>
      </c>
      <c r="D158" s="5" t="s">
        <v>37</v>
      </c>
      <c r="E158" s="5" t="s">
        <v>38</v>
      </c>
      <c r="F158" s="5" t="s">
        <v>214</v>
      </c>
      <c r="G158" s="5" t="s">
        <v>266</v>
      </c>
    </row>
    <row r="159" spans="1:7" ht="14.5" hidden="1" x14ac:dyDescent="0.35">
      <c r="A159" s="5">
        <v>65</v>
      </c>
      <c r="B159" s="5" t="s">
        <v>603</v>
      </c>
      <c r="C159" s="5" t="s">
        <v>601</v>
      </c>
      <c r="D159" s="5" t="s">
        <v>37</v>
      </c>
      <c r="E159" s="5" t="s">
        <v>215</v>
      </c>
      <c r="F159" s="5" t="s">
        <v>274</v>
      </c>
      <c r="G159" s="5" t="s">
        <v>266</v>
      </c>
    </row>
    <row r="160" spans="1:7" ht="14.5" hidden="1" x14ac:dyDescent="0.35">
      <c r="A160" s="5">
        <v>66</v>
      </c>
      <c r="B160" s="5" t="s">
        <v>604</v>
      </c>
      <c r="C160" s="5" t="s">
        <v>605</v>
      </c>
      <c r="D160" s="5" t="s">
        <v>37</v>
      </c>
      <c r="E160" s="5" t="s">
        <v>606</v>
      </c>
      <c r="F160" s="5" t="s">
        <v>274</v>
      </c>
      <c r="G160" s="5" t="s">
        <v>266</v>
      </c>
    </row>
    <row r="161" spans="1:7" ht="14.5" hidden="1" x14ac:dyDescent="0.35">
      <c r="A161" s="5">
        <v>66</v>
      </c>
      <c r="B161" s="5" t="s">
        <v>607</v>
      </c>
      <c r="C161" s="5" t="s">
        <v>605</v>
      </c>
      <c r="D161" s="5" t="s">
        <v>37</v>
      </c>
      <c r="E161" s="5" t="s">
        <v>90</v>
      </c>
      <c r="F161" s="5" t="s">
        <v>39</v>
      </c>
      <c r="G161" s="5" t="s">
        <v>266</v>
      </c>
    </row>
    <row r="162" spans="1:7" ht="14.5" hidden="1" x14ac:dyDescent="0.35">
      <c r="A162" s="5">
        <v>66</v>
      </c>
      <c r="B162" s="5" t="s">
        <v>608</v>
      </c>
      <c r="C162" s="5" t="s">
        <v>605</v>
      </c>
      <c r="D162" s="5" t="s">
        <v>37</v>
      </c>
      <c r="E162" s="5" t="s">
        <v>151</v>
      </c>
      <c r="F162" s="5" t="s">
        <v>274</v>
      </c>
      <c r="G162" s="5" t="s">
        <v>266</v>
      </c>
    </row>
    <row r="163" spans="1:7" ht="14.5" x14ac:dyDescent="0.35">
      <c r="A163" s="5">
        <v>67</v>
      </c>
      <c r="B163" s="5" t="s">
        <v>609</v>
      </c>
      <c r="C163" s="5" t="s">
        <v>610</v>
      </c>
      <c r="D163" s="5" t="s">
        <v>37</v>
      </c>
      <c r="E163" s="5" t="s">
        <v>38</v>
      </c>
      <c r="F163" s="5" t="s">
        <v>209</v>
      </c>
      <c r="G163" s="5" t="s">
        <v>263</v>
      </c>
    </row>
    <row r="164" spans="1:7" ht="14.5" x14ac:dyDescent="0.35">
      <c r="A164" s="5">
        <v>67</v>
      </c>
      <c r="B164" s="5" t="s">
        <v>611</v>
      </c>
      <c r="C164" s="5" t="s">
        <v>610</v>
      </c>
      <c r="D164" s="5" t="s">
        <v>37</v>
      </c>
      <c r="E164" s="5" t="s">
        <v>38</v>
      </c>
      <c r="F164" s="5" t="s">
        <v>210</v>
      </c>
      <c r="G164" s="5" t="s">
        <v>263</v>
      </c>
    </row>
    <row r="165" spans="1:7" ht="14.5" hidden="1" x14ac:dyDescent="0.35">
      <c r="A165" s="5">
        <v>67</v>
      </c>
      <c r="B165" s="5" t="s">
        <v>612</v>
      </c>
      <c r="C165" s="5" t="s">
        <v>613</v>
      </c>
      <c r="D165" s="5" t="s">
        <v>37</v>
      </c>
      <c r="E165" s="5" t="s">
        <v>588</v>
      </c>
      <c r="F165" s="5" t="s">
        <v>274</v>
      </c>
      <c r="G165" s="5" t="s">
        <v>266</v>
      </c>
    </row>
    <row r="166" spans="1:7" ht="14.5" hidden="1" x14ac:dyDescent="0.35">
      <c r="A166" s="5">
        <v>67</v>
      </c>
      <c r="B166" s="5" t="s">
        <v>614</v>
      </c>
      <c r="C166" s="5" t="s">
        <v>613</v>
      </c>
      <c r="D166" s="5" t="s">
        <v>37</v>
      </c>
      <c r="E166" s="5" t="s">
        <v>215</v>
      </c>
      <c r="F166" s="5" t="s">
        <v>274</v>
      </c>
      <c r="G166" s="5" t="s">
        <v>266</v>
      </c>
    </row>
    <row r="167" spans="1:7" ht="14.5" x14ac:dyDescent="0.35">
      <c r="A167" s="5">
        <v>67</v>
      </c>
      <c r="B167" s="5" t="s">
        <v>615</v>
      </c>
      <c r="C167" s="5" t="s">
        <v>610</v>
      </c>
      <c r="D167" s="5" t="s">
        <v>37</v>
      </c>
      <c r="E167" s="5" t="s">
        <v>38</v>
      </c>
      <c r="F167" s="5" t="s">
        <v>210</v>
      </c>
      <c r="G167" s="5" t="s">
        <v>263</v>
      </c>
    </row>
    <row r="168" spans="1:7" ht="14.5" hidden="1" x14ac:dyDescent="0.35">
      <c r="A168" s="5">
        <v>67</v>
      </c>
      <c r="B168" s="5" t="s">
        <v>616</v>
      </c>
      <c r="C168" s="5" t="s">
        <v>613</v>
      </c>
      <c r="D168" s="5" t="s">
        <v>37</v>
      </c>
      <c r="E168" s="5" t="s">
        <v>38</v>
      </c>
      <c r="F168" s="5" t="s">
        <v>214</v>
      </c>
      <c r="G168" s="5" t="s">
        <v>266</v>
      </c>
    </row>
    <row r="169" spans="1:7" ht="14.5" hidden="1" x14ac:dyDescent="0.35">
      <c r="A169" s="5">
        <v>67</v>
      </c>
      <c r="B169" s="5" t="s">
        <v>617</v>
      </c>
      <c r="C169" s="5" t="s">
        <v>613</v>
      </c>
      <c r="D169" s="5" t="s">
        <v>37</v>
      </c>
      <c r="E169" s="5" t="s">
        <v>618</v>
      </c>
      <c r="F169" s="5" t="s">
        <v>274</v>
      </c>
      <c r="G169" s="5" t="s">
        <v>266</v>
      </c>
    </row>
    <row r="170" spans="1:7" ht="14.5" hidden="1" x14ac:dyDescent="0.35">
      <c r="A170" s="5">
        <v>68</v>
      </c>
      <c r="B170" s="5" t="s">
        <v>619</v>
      </c>
      <c r="C170" s="5" t="s">
        <v>620</v>
      </c>
      <c r="D170" s="5" t="s">
        <v>218</v>
      </c>
      <c r="E170" s="5" t="s">
        <v>621</v>
      </c>
      <c r="F170" s="5" t="s">
        <v>622</v>
      </c>
      <c r="G170" s="5" t="s">
        <v>266</v>
      </c>
    </row>
    <row r="171" spans="1:7" ht="14.5" x14ac:dyDescent="0.35">
      <c r="A171" s="5">
        <v>69</v>
      </c>
      <c r="B171" s="5" t="s">
        <v>623</v>
      </c>
      <c r="C171" s="5" t="s">
        <v>624</v>
      </c>
      <c r="D171" s="5" t="s">
        <v>80</v>
      </c>
      <c r="E171" s="5" t="s">
        <v>46</v>
      </c>
      <c r="F171" s="5" t="s">
        <v>622</v>
      </c>
      <c r="G171" s="5" t="s">
        <v>263</v>
      </c>
    </row>
    <row r="172" spans="1:7" ht="14.5" hidden="1" x14ac:dyDescent="0.35">
      <c r="A172" s="5">
        <v>69</v>
      </c>
      <c r="B172" s="5" t="s">
        <v>625</v>
      </c>
      <c r="C172" s="5" t="s">
        <v>626</v>
      </c>
      <c r="D172" s="5" t="s">
        <v>80</v>
      </c>
      <c r="E172" s="5" t="s">
        <v>221</v>
      </c>
      <c r="F172" s="5" t="s">
        <v>222</v>
      </c>
      <c r="G172" s="5" t="s">
        <v>266</v>
      </c>
    </row>
    <row r="173" spans="1:7" ht="14.5" x14ac:dyDescent="0.35">
      <c r="A173" s="5">
        <v>70</v>
      </c>
      <c r="B173" s="5" t="s">
        <v>627</v>
      </c>
      <c r="C173" s="5" t="s">
        <v>628</v>
      </c>
      <c r="D173" s="5" t="s">
        <v>37</v>
      </c>
      <c r="E173" s="5" t="s">
        <v>38</v>
      </c>
      <c r="F173" s="5" t="s">
        <v>302</v>
      </c>
      <c r="G173" s="5" t="s">
        <v>263</v>
      </c>
    </row>
    <row r="174" spans="1:7" ht="14.5" hidden="1" x14ac:dyDescent="0.35">
      <c r="A174" s="5">
        <v>70</v>
      </c>
      <c r="B174" s="5" t="s">
        <v>629</v>
      </c>
      <c r="C174" s="5" t="s">
        <v>630</v>
      </c>
      <c r="D174" s="5" t="s">
        <v>37</v>
      </c>
      <c r="E174" s="5" t="s">
        <v>631</v>
      </c>
      <c r="F174" s="5" t="s">
        <v>274</v>
      </c>
      <c r="G174" s="5" t="s">
        <v>266</v>
      </c>
    </row>
    <row r="175" spans="1:7" ht="14.5" x14ac:dyDescent="0.35">
      <c r="A175" s="5">
        <v>71</v>
      </c>
      <c r="B175" s="5" t="s">
        <v>632</v>
      </c>
      <c r="C175" s="5" t="s">
        <v>633</v>
      </c>
      <c r="D175" s="5" t="s">
        <v>224</v>
      </c>
      <c r="E175" s="5" t="s">
        <v>76</v>
      </c>
      <c r="F175" s="5" t="s">
        <v>634</v>
      </c>
      <c r="G175" s="5" t="s">
        <v>263</v>
      </c>
    </row>
    <row r="176" spans="1:7" ht="14.5" hidden="1" x14ac:dyDescent="0.35">
      <c r="A176" s="5">
        <v>72</v>
      </c>
      <c r="B176" s="5" t="s">
        <v>635</v>
      </c>
      <c r="C176" s="5" t="s">
        <v>636</v>
      </c>
      <c r="D176" s="5" t="s">
        <v>226</v>
      </c>
      <c r="E176" s="5" t="s">
        <v>54</v>
      </c>
      <c r="F176" s="5" t="s">
        <v>228</v>
      </c>
      <c r="G176" s="5" t="s">
        <v>266</v>
      </c>
    </row>
    <row r="177" spans="1:7" ht="14.5" hidden="1" x14ac:dyDescent="0.35">
      <c r="A177" s="5">
        <v>72</v>
      </c>
      <c r="B177" s="5" t="s">
        <v>637</v>
      </c>
      <c r="C177" s="5" t="s">
        <v>636</v>
      </c>
      <c r="D177" s="5" t="s">
        <v>226</v>
      </c>
      <c r="E177" s="5" t="s">
        <v>54</v>
      </c>
      <c r="F177" s="5" t="s">
        <v>638</v>
      </c>
      <c r="G177" s="5" t="s">
        <v>266</v>
      </c>
    </row>
    <row r="178" spans="1:7" ht="14.5" x14ac:dyDescent="0.35">
      <c r="A178" s="5">
        <v>72</v>
      </c>
      <c r="B178" s="5" t="s">
        <v>639</v>
      </c>
      <c r="C178" s="5" t="s">
        <v>640</v>
      </c>
      <c r="D178" s="5" t="s">
        <v>226</v>
      </c>
      <c r="E178" s="5" t="s">
        <v>38</v>
      </c>
      <c r="F178" s="5" t="s">
        <v>227</v>
      </c>
      <c r="G178" s="5" t="s">
        <v>263</v>
      </c>
    </row>
    <row r="179" spans="1:7" ht="14.5" x14ac:dyDescent="0.35">
      <c r="A179" s="5">
        <v>72</v>
      </c>
      <c r="B179" s="5" t="s">
        <v>641</v>
      </c>
      <c r="C179" s="5" t="s">
        <v>640</v>
      </c>
      <c r="D179" s="5" t="s">
        <v>226</v>
      </c>
      <c r="E179" s="5" t="s">
        <v>38</v>
      </c>
      <c r="F179" s="5" t="s">
        <v>302</v>
      </c>
      <c r="G179" s="5" t="s">
        <v>263</v>
      </c>
    </row>
    <row r="180" spans="1:7" ht="14.5" x14ac:dyDescent="0.35">
      <c r="A180" s="5">
        <v>73</v>
      </c>
      <c r="B180" s="5" t="s">
        <v>642</v>
      </c>
      <c r="C180" s="5" t="s">
        <v>643</v>
      </c>
      <c r="D180" s="5" t="s">
        <v>30</v>
      </c>
      <c r="E180" s="5" t="s">
        <v>230</v>
      </c>
      <c r="F180" s="5" t="s">
        <v>644</v>
      </c>
      <c r="G180" s="5" t="s">
        <v>263</v>
      </c>
    </row>
    <row r="181" spans="1:7" ht="14.5" hidden="1" x14ac:dyDescent="0.35">
      <c r="A181" s="5">
        <v>73</v>
      </c>
      <c r="B181" s="5" t="s">
        <v>645</v>
      </c>
      <c r="C181" s="5" t="s">
        <v>646</v>
      </c>
      <c r="D181" s="5" t="s">
        <v>30</v>
      </c>
      <c r="E181" s="5" t="s">
        <v>232</v>
      </c>
      <c r="F181" s="5" t="s">
        <v>647</v>
      </c>
      <c r="G181" s="5" t="s">
        <v>266</v>
      </c>
    </row>
    <row r="182" spans="1:7" ht="14.5" x14ac:dyDescent="0.35">
      <c r="A182" s="5">
        <v>74</v>
      </c>
      <c r="B182" s="5" t="s">
        <v>648</v>
      </c>
      <c r="C182" s="5" t="s">
        <v>649</v>
      </c>
      <c r="D182" s="5" t="s">
        <v>30</v>
      </c>
      <c r="E182" s="5" t="s">
        <v>230</v>
      </c>
      <c r="F182" s="5" t="s">
        <v>644</v>
      </c>
      <c r="G182" s="5" t="s">
        <v>263</v>
      </c>
    </row>
    <row r="183" spans="1:7" ht="14.5" hidden="1" x14ac:dyDescent="0.35">
      <c r="A183" s="5">
        <v>74</v>
      </c>
      <c r="B183" s="5" t="s">
        <v>650</v>
      </c>
      <c r="C183" s="5" t="s">
        <v>646</v>
      </c>
      <c r="D183" s="5" t="s">
        <v>30</v>
      </c>
      <c r="E183" s="5" t="s">
        <v>232</v>
      </c>
      <c r="F183" s="5" t="s">
        <v>647</v>
      </c>
      <c r="G183" s="5" t="s">
        <v>266</v>
      </c>
    </row>
    <row r="184" spans="1:7" ht="14.5" hidden="1" x14ac:dyDescent="0.35">
      <c r="A184" s="5">
        <v>74</v>
      </c>
      <c r="B184" s="5" t="s">
        <v>651</v>
      </c>
      <c r="C184" s="5" t="s">
        <v>646</v>
      </c>
      <c r="D184" s="5" t="s">
        <v>30</v>
      </c>
      <c r="E184" s="5" t="s">
        <v>652</v>
      </c>
      <c r="F184" s="5" t="s">
        <v>235</v>
      </c>
      <c r="G184" s="5" t="s">
        <v>266</v>
      </c>
    </row>
    <row r="185" spans="1:7" ht="14.5" x14ac:dyDescent="0.35">
      <c r="A185" s="5">
        <v>75</v>
      </c>
      <c r="B185" s="5" t="s">
        <v>653</v>
      </c>
      <c r="C185" s="5" t="s">
        <v>654</v>
      </c>
      <c r="D185" s="5" t="s">
        <v>30</v>
      </c>
      <c r="E185" s="5" t="s">
        <v>230</v>
      </c>
      <c r="F185" s="5" t="s">
        <v>644</v>
      </c>
      <c r="G185" s="5" t="s">
        <v>263</v>
      </c>
    </row>
    <row r="186" spans="1:7" ht="14.5" hidden="1" x14ac:dyDescent="0.35">
      <c r="A186" s="5">
        <v>75</v>
      </c>
      <c r="B186" s="5" t="s">
        <v>655</v>
      </c>
      <c r="C186" s="5" t="s">
        <v>646</v>
      </c>
      <c r="D186" s="5" t="s">
        <v>30</v>
      </c>
      <c r="E186" s="5" t="s">
        <v>232</v>
      </c>
      <c r="F186" s="5" t="s">
        <v>647</v>
      </c>
      <c r="G186" s="5" t="s">
        <v>266</v>
      </c>
    </row>
    <row r="187" spans="1:7" ht="14.5" hidden="1" x14ac:dyDescent="0.35">
      <c r="A187" s="5">
        <v>75</v>
      </c>
      <c r="B187" s="5" t="s">
        <v>656</v>
      </c>
      <c r="C187" s="5" t="s">
        <v>646</v>
      </c>
      <c r="D187" s="5" t="s">
        <v>30</v>
      </c>
      <c r="E187" s="5" t="s">
        <v>652</v>
      </c>
      <c r="F187" s="5" t="s">
        <v>657</v>
      </c>
      <c r="G187" s="5" t="s">
        <v>266</v>
      </c>
    </row>
    <row r="188" spans="1:7" ht="14.5" x14ac:dyDescent="0.35">
      <c r="A188" s="5">
        <v>76</v>
      </c>
      <c r="B188" s="5" t="s">
        <v>658</v>
      </c>
      <c r="C188" s="5" t="s">
        <v>659</v>
      </c>
      <c r="D188" s="5" t="s">
        <v>237</v>
      </c>
      <c r="E188" s="5" t="s">
        <v>230</v>
      </c>
      <c r="F188" s="5" t="s">
        <v>644</v>
      </c>
      <c r="G188" s="5" t="s">
        <v>263</v>
      </c>
    </row>
    <row r="189" spans="1:7" ht="14.5" hidden="1" x14ac:dyDescent="0.35">
      <c r="A189" s="5">
        <v>76</v>
      </c>
      <c r="B189" s="5" t="s">
        <v>660</v>
      </c>
      <c r="C189" s="5" t="s">
        <v>661</v>
      </c>
      <c r="D189" s="5" t="s">
        <v>237</v>
      </c>
      <c r="E189" s="5" t="s">
        <v>26</v>
      </c>
      <c r="F189" s="5" t="s">
        <v>238</v>
      </c>
      <c r="G189" s="5" t="s">
        <v>266</v>
      </c>
    </row>
    <row r="190" spans="1:7" ht="14.5" hidden="1" x14ac:dyDescent="0.35">
      <c r="A190" s="5">
        <v>76</v>
      </c>
      <c r="B190" s="5" t="s">
        <v>662</v>
      </c>
      <c r="C190" s="5" t="s">
        <v>661</v>
      </c>
      <c r="D190" s="5" t="s">
        <v>237</v>
      </c>
      <c r="E190" s="5" t="s">
        <v>43</v>
      </c>
      <c r="F190" s="5" t="s">
        <v>83</v>
      </c>
      <c r="G190" s="5" t="s">
        <v>266</v>
      </c>
    </row>
    <row r="191" spans="1:7" ht="14.5" x14ac:dyDescent="0.35">
      <c r="A191" s="5">
        <v>77</v>
      </c>
      <c r="B191" s="5" t="s">
        <v>663</v>
      </c>
      <c r="C191" s="5" t="s">
        <v>664</v>
      </c>
      <c r="D191" s="5" t="s">
        <v>237</v>
      </c>
      <c r="E191" s="5" t="s">
        <v>230</v>
      </c>
      <c r="F191" s="5" t="s">
        <v>644</v>
      </c>
      <c r="G191" s="5" t="s">
        <v>263</v>
      </c>
    </row>
    <row r="192" spans="1:7" ht="14.5" hidden="1" x14ac:dyDescent="0.35">
      <c r="A192" s="5">
        <v>77</v>
      </c>
      <c r="B192" s="5" t="s">
        <v>665</v>
      </c>
      <c r="C192" s="5" t="s">
        <v>661</v>
      </c>
      <c r="D192" s="5" t="s">
        <v>237</v>
      </c>
      <c r="E192" s="5" t="s">
        <v>26</v>
      </c>
      <c r="F192" s="5" t="s">
        <v>238</v>
      </c>
      <c r="G192" s="5" t="s">
        <v>266</v>
      </c>
    </row>
    <row r="193" spans="1:7" ht="14.5" hidden="1" x14ac:dyDescent="0.35">
      <c r="A193" s="5">
        <v>77</v>
      </c>
      <c r="B193" s="5" t="s">
        <v>666</v>
      </c>
      <c r="C193" s="5" t="s">
        <v>661</v>
      </c>
      <c r="D193" s="5" t="s">
        <v>237</v>
      </c>
      <c r="E193" s="5" t="s">
        <v>43</v>
      </c>
      <c r="F193" s="5" t="s">
        <v>83</v>
      </c>
      <c r="G193" s="5" t="s">
        <v>266</v>
      </c>
    </row>
    <row r="194" spans="1:7" ht="14.5" x14ac:dyDescent="0.35">
      <c r="A194" s="5">
        <v>78</v>
      </c>
      <c r="B194" s="5" t="s">
        <v>667</v>
      </c>
      <c r="C194" s="5" t="s">
        <v>668</v>
      </c>
      <c r="D194" s="5" t="s">
        <v>237</v>
      </c>
      <c r="E194" s="5" t="s">
        <v>230</v>
      </c>
      <c r="F194" s="5" t="s">
        <v>644</v>
      </c>
      <c r="G194" s="5" t="s">
        <v>263</v>
      </c>
    </row>
    <row r="195" spans="1:7" ht="14.5" hidden="1" x14ac:dyDescent="0.35">
      <c r="A195" s="5">
        <v>78</v>
      </c>
      <c r="B195" s="5" t="s">
        <v>669</v>
      </c>
      <c r="C195" s="5" t="s">
        <v>661</v>
      </c>
      <c r="D195" s="5" t="s">
        <v>237</v>
      </c>
      <c r="E195" s="5" t="s">
        <v>43</v>
      </c>
      <c r="F195" s="5" t="s">
        <v>83</v>
      </c>
      <c r="G195" s="5" t="s">
        <v>266</v>
      </c>
    </row>
    <row r="196" spans="1:7" ht="14.5" hidden="1" x14ac:dyDescent="0.35">
      <c r="A196" s="5">
        <v>78</v>
      </c>
      <c r="B196" s="5" t="s">
        <v>670</v>
      </c>
      <c r="C196" s="5" t="s">
        <v>661</v>
      </c>
      <c r="D196" s="5" t="s">
        <v>237</v>
      </c>
      <c r="E196" s="5" t="s">
        <v>26</v>
      </c>
      <c r="F196" s="5" t="s">
        <v>238</v>
      </c>
      <c r="G196" s="5" t="s">
        <v>266</v>
      </c>
    </row>
    <row r="197" spans="1:7" ht="14.5" x14ac:dyDescent="0.35">
      <c r="A197" s="5">
        <v>79</v>
      </c>
      <c r="B197" s="5" t="s">
        <v>671</v>
      </c>
      <c r="C197" s="5" t="s">
        <v>672</v>
      </c>
      <c r="D197" s="5" t="s">
        <v>37</v>
      </c>
      <c r="E197" s="5" t="s">
        <v>239</v>
      </c>
      <c r="F197" s="5" t="s">
        <v>673</v>
      </c>
      <c r="G197" s="5" t="s">
        <v>263</v>
      </c>
    </row>
    <row r="198" spans="1:7" ht="14.5" hidden="1" x14ac:dyDescent="0.35">
      <c r="A198" s="5">
        <v>79</v>
      </c>
      <c r="B198" s="5" t="s">
        <v>674</v>
      </c>
      <c r="C198" s="5" t="s">
        <v>675</v>
      </c>
      <c r="D198" s="5" t="s">
        <v>37</v>
      </c>
      <c r="E198" s="5" t="s">
        <v>561</v>
      </c>
      <c r="F198" s="5" t="s">
        <v>274</v>
      </c>
      <c r="G198" s="5" t="s">
        <v>266</v>
      </c>
    </row>
    <row r="199" spans="1:7" ht="14.5" hidden="1" x14ac:dyDescent="0.35">
      <c r="A199" s="5">
        <v>79</v>
      </c>
      <c r="B199" s="5" t="s">
        <v>676</v>
      </c>
      <c r="C199" s="5" t="s">
        <v>675</v>
      </c>
      <c r="D199" s="5" t="s">
        <v>37</v>
      </c>
      <c r="E199" s="5" t="s">
        <v>143</v>
      </c>
      <c r="F199" s="5" t="s">
        <v>274</v>
      </c>
      <c r="G199" s="5" t="s">
        <v>266</v>
      </c>
    </row>
    <row r="200" spans="1:7" ht="14.5" x14ac:dyDescent="0.35">
      <c r="A200" s="5">
        <v>80</v>
      </c>
      <c r="B200" s="5" t="s">
        <v>677</v>
      </c>
      <c r="C200" s="5" t="s">
        <v>678</v>
      </c>
      <c r="D200" s="5" t="s">
        <v>30</v>
      </c>
      <c r="E200" s="5" t="s">
        <v>69</v>
      </c>
      <c r="F200" s="5" t="s">
        <v>241</v>
      </c>
      <c r="G200" s="5" t="s">
        <v>263</v>
      </c>
    </row>
    <row r="201" spans="1:7" ht="14.5" hidden="1" x14ac:dyDescent="0.35">
      <c r="A201" s="5">
        <v>80</v>
      </c>
      <c r="B201" s="5" t="s">
        <v>679</v>
      </c>
      <c r="C201" s="5" t="s">
        <v>680</v>
      </c>
      <c r="D201" s="5" t="s">
        <v>30</v>
      </c>
      <c r="E201" s="5" t="s">
        <v>232</v>
      </c>
      <c r="F201" s="5" t="s">
        <v>681</v>
      </c>
      <c r="G201" s="5" t="s">
        <v>266</v>
      </c>
    </row>
    <row r="202" spans="1:7" ht="14.5" hidden="1" x14ac:dyDescent="0.35">
      <c r="A202" s="5">
        <v>80</v>
      </c>
      <c r="B202" s="5" t="s">
        <v>682</v>
      </c>
      <c r="C202" s="5" t="s">
        <v>680</v>
      </c>
      <c r="D202" s="5" t="s">
        <v>30</v>
      </c>
      <c r="E202" s="5" t="s">
        <v>215</v>
      </c>
      <c r="F202" s="5" t="s">
        <v>274</v>
      </c>
      <c r="G202" s="5" t="s">
        <v>266</v>
      </c>
    </row>
    <row r="203" spans="1:7" ht="14.5" hidden="1" x14ac:dyDescent="0.35">
      <c r="A203" s="5">
        <v>80</v>
      </c>
      <c r="B203" s="5" t="s">
        <v>683</v>
      </c>
      <c r="C203" s="5" t="s">
        <v>680</v>
      </c>
      <c r="D203" s="5" t="s">
        <v>30</v>
      </c>
      <c r="E203" s="5" t="s">
        <v>176</v>
      </c>
      <c r="F203" s="5" t="s">
        <v>684</v>
      </c>
      <c r="G203" s="5" t="s">
        <v>266</v>
      </c>
    </row>
    <row r="204" spans="1:7" ht="14.5" hidden="1" x14ac:dyDescent="0.35">
      <c r="A204" s="5">
        <v>81</v>
      </c>
      <c r="B204" s="5" t="s">
        <v>685</v>
      </c>
      <c r="C204" s="5" t="s">
        <v>686</v>
      </c>
      <c r="D204" s="5" t="s">
        <v>37</v>
      </c>
      <c r="E204" s="5" t="s">
        <v>687</v>
      </c>
      <c r="F204" s="5" t="s">
        <v>164</v>
      </c>
      <c r="G204" s="5" t="s">
        <v>266</v>
      </c>
    </row>
    <row r="205" spans="1:7" ht="14.5" hidden="1" x14ac:dyDescent="0.35">
      <c r="A205" s="5">
        <v>81</v>
      </c>
      <c r="B205" s="5" t="s">
        <v>688</v>
      </c>
      <c r="C205" s="5" t="s">
        <v>686</v>
      </c>
      <c r="D205" s="5" t="s">
        <v>37</v>
      </c>
      <c r="E205" s="5" t="s">
        <v>246</v>
      </c>
      <c r="F205" s="5" t="s">
        <v>689</v>
      </c>
      <c r="G205" s="5" t="s">
        <v>266</v>
      </c>
    </row>
    <row r="206" spans="1:7" ht="14.5" hidden="1" x14ac:dyDescent="0.35">
      <c r="A206" s="5">
        <v>81</v>
      </c>
      <c r="B206" s="5" t="s">
        <v>690</v>
      </c>
      <c r="C206" s="5" t="s">
        <v>686</v>
      </c>
      <c r="D206" s="5" t="s">
        <v>37</v>
      </c>
      <c r="E206" s="5" t="s">
        <v>248</v>
      </c>
      <c r="F206" s="5" t="s">
        <v>227</v>
      </c>
      <c r="G206" s="5" t="s">
        <v>266</v>
      </c>
    </row>
    <row r="207" spans="1:7" ht="14.5" x14ac:dyDescent="0.35">
      <c r="A207" s="5">
        <v>81</v>
      </c>
      <c r="B207" s="5" t="s">
        <v>691</v>
      </c>
      <c r="C207" s="5" t="s">
        <v>692</v>
      </c>
      <c r="D207" s="5" t="s">
        <v>37</v>
      </c>
      <c r="E207" s="5" t="s">
        <v>54</v>
      </c>
      <c r="F207" s="5" t="s">
        <v>693</v>
      </c>
      <c r="G207" s="5" t="s">
        <v>263</v>
      </c>
    </row>
    <row r="208" spans="1:7" ht="14.5" x14ac:dyDescent="0.35">
      <c r="A208" s="5">
        <v>82</v>
      </c>
      <c r="B208" s="5" t="s">
        <v>694</v>
      </c>
      <c r="C208" s="5" t="s">
        <v>695</v>
      </c>
      <c r="D208" s="5" t="s">
        <v>165</v>
      </c>
      <c r="E208" s="5" t="s">
        <v>60</v>
      </c>
      <c r="F208" s="5" t="s">
        <v>36</v>
      </c>
      <c r="G208" s="5" t="s">
        <v>263</v>
      </c>
    </row>
    <row r="209" spans="1:7" ht="14.5" hidden="1" x14ac:dyDescent="0.35">
      <c r="A209" s="5">
        <v>82</v>
      </c>
      <c r="B209" s="5" t="s">
        <v>696</v>
      </c>
      <c r="C209" s="5" t="s">
        <v>697</v>
      </c>
      <c r="D209" s="5" t="s">
        <v>165</v>
      </c>
      <c r="E209" s="5" t="s">
        <v>249</v>
      </c>
      <c r="F209" s="5" t="s">
        <v>250</v>
      </c>
      <c r="G209" s="5" t="s">
        <v>266</v>
      </c>
    </row>
    <row r="210" spans="1:7" ht="14.5" hidden="1" x14ac:dyDescent="0.35">
      <c r="A210" s="5">
        <v>83</v>
      </c>
      <c r="B210" s="5" t="s">
        <v>698</v>
      </c>
      <c r="C210" s="5" t="s">
        <v>699</v>
      </c>
      <c r="D210" s="5" t="s">
        <v>37</v>
      </c>
      <c r="E210" s="5" t="s">
        <v>700</v>
      </c>
      <c r="F210" s="5" t="s">
        <v>386</v>
      </c>
      <c r="G210" s="5" t="s">
        <v>266</v>
      </c>
    </row>
    <row r="211" spans="1:7" ht="14.5" hidden="1" x14ac:dyDescent="0.35">
      <c r="A211" s="5">
        <v>83</v>
      </c>
      <c r="B211" s="5" t="s">
        <v>701</v>
      </c>
      <c r="C211" s="5" t="s">
        <v>699</v>
      </c>
      <c r="D211" s="5" t="s">
        <v>37</v>
      </c>
      <c r="E211" s="5" t="s">
        <v>252</v>
      </c>
      <c r="F211" s="5" t="s">
        <v>702</v>
      </c>
      <c r="G211" s="5" t="s">
        <v>266</v>
      </c>
    </row>
  </sheetData>
  <autoFilter ref="A1:G211" xr:uid="{00000000-0009-0000-0000-000002000000}">
    <filterColumn colId="6">
      <filters>
        <filter val="Goal"/>
      </filters>
    </filterColumn>
  </autoFilter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4"/>
  <sheetViews>
    <sheetView zoomScale="205" zoomScaleNormal="205" workbookViewId="0">
      <pane ySplit="1" topLeftCell="A49" activePane="bottomLeft" state="frozen"/>
      <selection pane="bottomLeft" activeCell="G50" sqref="G50"/>
    </sheetView>
  </sheetViews>
  <sheetFormatPr defaultColWidth="8.81640625" defaultRowHeight="14.25" customHeight="1" x14ac:dyDescent="0.35"/>
  <cols>
    <col min="1" max="1" width="18.7265625" customWidth="1"/>
    <col min="2" max="2" width="10.26953125" customWidth="1"/>
    <col min="3" max="3" width="34.26953125" customWidth="1"/>
    <col min="4" max="4" width="12.7265625" customWidth="1"/>
    <col min="5" max="5" width="12.6328125" customWidth="1"/>
    <col min="6" max="6" width="10.7265625" customWidth="1"/>
    <col min="7" max="7" width="9.453125" customWidth="1"/>
  </cols>
  <sheetData>
    <row r="1" spans="1:7" ht="14.5" x14ac:dyDescent="0.35">
      <c r="A1" s="2" t="s">
        <v>254</v>
      </c>
      <c r="B1" s="2" t="s">
        <v>255</v>
      </c>
      <c r="C1" s="2" t="s">
        <v>256</v>
      </c>
      <c r="D1" s="2" t="s">
        <v>8</v>
      </c>
      <c r="E1" s="2" t="s">
        <v>257</v>
      </c>
      <c r="F1" s="2" t="s">
        <v>258</v>
      </c>
      <c r="G1" s="2" t="s">
        <v>259</v>
      </c>
    </row>
    <row r="2" spans="1:7" ht="28.5" customHeight="1" x14ac:dyDescent="0.35">
      <c r="A2" s="5">
        <v>1</v>
      </c>
      <c r="B2" s="5" t="s">
        <v>260</v>
      </c>
      <c r="C2" s="3" t="s">
        <v>261</v>
      </c>
      <c r="D2" s="5" t="s">
        <v>262</v>
      </c>
      <c r="E2" s="5" t="s">
        <v>24</v>
      </c>
      <c r="F2" s="5" t="s">
        <v>25</v>
      </c>
      <c r="G2" s="5" t="s">
        <v>263</v>
      </c>
    </row>
    <row r="3" spans="1:7" ht="43.5" customHeight="1" x14ac:dyDescent="0.35">
      <c r="A3" s="5">
        <v>2</v>
      </c>
      <c r="B3" s="5" t="s">
        <v>269</v>
      </c>
      <c r="C3" s="3" t="s">
        <v>703</v>
      </c>
      <c r="D3" s="5" t="s">
        <v>30</v>
      </c>
      <c r="E3" s="5" t="s">
        <v>31</v>
      </c>
      <c r="F3" s="5" t="s">
        <v>32</v>
      </c>
      <c r="G3" s="5" t="s">
        <v>263</v>
      </c>
    </row>
    <row r="4" spans="1:7" ht="43.5" customHeight="1" x14ac:dyDescent="0.35">
      <c r="A4" s="5">
        <v>2</v>
      </c>
      <c r="B4" s="5" t="s">
        <v>271</v>
      </c>
      <c r="C4" s="3" t="s">
        <v>704</v>
      </c>
      <c r="D4" s="5" t="s">
        <v>30</v>
      </c>
      <c r="E4" s="5" t="s">
        <v>31</v>
      </c>
      <c r="F4" s="5" t="s">
        <v>705</v>
      </c>
      <c r="G4" s="5" t="s">
        <v>263</v>
      </c>
    </row>
    <row r="5" spans="1:7" ht="43.5" customHeight="1" x14ac:dyDescent="0.35">
      <c r="A5" s="5">
        <v>3</v>
      </c>
      <c r="B5" s="5" t="s">
        <v>275</v>
      </c>
      <c r="C5" s="3" t="s">
        <v>276</v>
      </c>
      <c r="D5" s="5" t="s">
        <v>30</v>
      </c>
      <c r="E5" s="5" t="s">
        <v>35</v>
      </c>
      <c r="F5" s="5" t="s">
        <v>36</v>
      </c>
      <c r="G5" s="5" t="s">
        <v>263</v>
      </c>
    </row>
    <row r="6" spans="1:7" ht="28.5" customHeight="1" x14ac:dyDescent="0.35">
      <c r="A6" s="5">
        <v>4</v>
      </c>
      <c r="B6" s="5" t="s">
        <v>277</v>
      </c>
      <c r="C6" s="3" t="s">
        <v>278</v>
      </c>
      <c r="D6" s="5" t="s">
        <v>37</v>
      </c>
      <c r="E6" s="5" t="s">
        <v>38</v>
      </c>
      <c r="F6" s="5" t="s">
        <v>39</v>
      </c>
      <c r="G6" s="5" t="s">
        <v>263</v>
      </c>
    </row>
    <row r="7" spans="1:7" ht="57.75" customHeight="1" x14ac:dyDescent="0.35">
      <c r="A7" s="5">
        <v>5</v>
      </c>
      <c r="B7" s="5" t="s">
        <v>284</v>
      </c>
      <c r="C7" s="3" t="s">
        <v>285</v>
      </c>
      <c r="D7" s="5" t="s">
        <v>45</v>
      </c>
      <c r="E7" s="5" t="s">
        <v>46</v>
      </c>
      <c r="F7" s="5" t="s">
        <v>286</v>
      </c>
      <c r="G7" s="5" t="s">
        <v>263</v>
      </c>
    </row>
    <row r="8" spans="1:7" ht="43.5" customHeight="1" x14ac:dyDescent="0.35">
      <c r="A8" s="5">
        <v>6</v>
      </c>
      <c r="B8" s="5" t="s">
        <v>290</v>
      </c>
      <c r="C8" s="3" t="s">
        <v>291</v>
      </c>
      <c r="D8" s="5" t="s">
        <v>292</v>
      </c>
      <c r="E8" s="5" t="s">
        <v>38</v>
      </c>
      <c r="F8" s="5" t="s">
        <v>293</v>
      </c>
      <c r="G8" s="5" t="s">
        <v>263</v>
      </c>
    </row>
    <row r="9" spans="1:7" ht="28.5" customHeight="1" x14ac:dyDescent="0.35">
      <c r="A9" s="5">
        <v>7</v>
      </c>
      <c r="B9" s="5" t="s">
        <v>296</v>
      </c>
      <c r="C9" s="3" t="s">
        <v>297</v>
      </c>
      <c r="D9" s="5" t="s">
        <v>262</v>
      </c>
      <c r="E9" s="5" t="s">
        <v>54</v>
      </c>
      <c r="F9" s="5" t="s">
        <v>298</v>
      </c>
      <c r="G9" s="5" t="s">
        <v>263</v>
      </c>
    </row>
    <row r="10" spans="1:7" ht="43.5" customHeight="1" x14ac:dyDescent="0.35">
      <c r="A10" s="5">
        <v>8</v>
      </c>
      <c r="B10" s="5" t="s">
        <v>299</v>
      </c>
      <c r="C10" s="3" t="s">
        <v>300</v>
      </c>
      <c r="D10" s="5" t="s">
        <v>301</v>
      </c>
      <c r="E10" s="5" t="s">
        <v>38</v>
      </c>
      <c r="F10" s="5" t="s">
        <v>302</v>
      </c>
      <c r="G10" s="5" t="s">
        <v>263</v>
      </c>
    </row>
    <row r="11" spans="1:7" ht="57.75" customHeight="1" x14ac:dyDescent="0.35">
      <c r="A11" s="5">
        <v>9</v>
      </c>
      <c r="B11" s="5" t="s">
        <v>307</v>
      </c>
      <c r="C11" s="3" t="s">
        <v>308</v>
      </c>
      <c r="D11" s="5" t="s">
        <v>37</v>
      </c>
      <c r="E11" s="5" t="s">
        <v>60</v>
      </c>
      <c r="F11" s="5" t="s">
        <v>61</v>
      </c>
      <c r="G11" s="5" t="s">
        <v>263</v>
      </c>
    </row>
    <row r="12" spans="1:7" ht="43.5" customHeight="1" x14ac:dyDescent="0.35">
      <c r="A12" s="5">
        <v>10</v>
      </c>
      <c r="B12" s="5" t="s">
        <v>311</v>
      </c>
      <c r="C12" s="3" t="s">
        <v>312</v>
      </c>
      <c r="D12" s="5" t="s">
        <v>30</v>
      </c>
      <c r="E12" s="5" t="s">
        <v>38</v>
      </c>
      <c r="F12" s="5" t="s">
        <v>313</v>
      </c>
      <c r="G12" s="5" t="s">
        <v>263</v>
      </c>
    </row>
    <row r="13" spans="1:7" ht="28.5" customHeight="1" x14ac:dyDescent="0.35">
      <c r="A13" s="5">
        <v>11</v>
      </c>
      <c r="B13" s="5" t="s">
        <v>314</v>
      </c>
      <c r="C13" s="3" t="s">
        <v>315</v>
      </c>
      <c r="D13" s="5" t="s">
        <v>37</v>
      </c>
      <c r="E13" s="5" t="s">
        <v>38</v>
      </c>
      <c r="F13" s="5" t="s">
        <v>65</v>
      </c>
      <c r="G13" s="5" t="s">
        <v>263</v>
      </c>
    </row>
    <row r="14" spans="1:7" ht="28.5" customHeight="1" x14ac:dyDescent="0.35">
      <c r="A14" s="5">
        <v>12</v>
      </c>
      <c r="B14" s="5" t="s">
        <v>319</v>
      </c>
      <c r="C14" s="3" t="s">
        <v>320</v>
      </c>
      <c r="D14" s="5" t="s">
        <v>262</v>
      </c>
      <c r="E14" s="5" t="s">
        <v>69</v>
      </c>
      <c r="F14" s="5" t="s">
        <v>70</v>
      </c>
      <c r="G14" s="5" t="s">
        <v>263</v>
      </c>
    </row>
    <row r="15" spans="1:7" ht="28.5" customHeight="1" x14ac:dyDescent="0.35">
      <c r="A15" s="5">
        <v>13</v>
      </c>
      <c r="B15" s="5" t="s">
        <v>321</v>
      </c>
      <c r="C15" s="3" t="s">
        <v>322</v>
      </c>
      <c r="D15" s="5" t="s">
        <v>71</v>
      </c>
      <c r="E15" s="5" t="s">
        <v>38</v>
      </c>
      <c r="F15" s="5" t="s">
        <v>323</v>
      </c>
      <c r="G15" s="5" t="s">
        <v>263</v>
      </c>
    </row>
    <row r="16" spans="1:7" ht="43.5" customHeight="1" x14ac:dyDescent="0.35">
      <c r="A16" s="5">
        <v>14</v>
      </c>
      <c r="B16" s="5" t="s">
        <v>327</v>
      </c>
      <c r="C16" s="3" t="s">
        <v>328</v>
      </c>
      <c r="D16" s="5" t="s">
        <v>75</v>
      </c>
      <c r="E16" s="5" t="s">
        <v>76</v>
      </c>
      <c r="F16" s="5" t="s">
        <v>329</v>
      </c>
      <c r="G16" s="5" t="s">
        <v>263</v>
      </c>
    </row>
    <row r="17" spans="1:7" ht="43.5" customHeight="1" x14ac:dyDescent="0.35">
      <c r="A17" s="5">
        <v>15</v>
      </c>
      <c r="B17" s="5" t="s">
        <v>332</v>
      </c>
      <c r="C17" s="3" t="s">
        <v>333</v>
      </c>
      <c r="D17" s="5" t="s">
        <v>301</v>
      </c>
      <c r="E17" s="5" t="s">
        <v>60</v>
      </c>
      <c r="F17" s="5" t="s">
        <v>78</v>
      </c>
      <c r="G17" s="5" t="s">
        <v>263</v>
      </c>
    </row>
    <row r="18" spans="1:7" ht="43.5" customHeight="1" x14ac:dyDescent="0.35">
      <c r="A18" s="5">
        <v>16</v>
      </c>
      <c r="B18" s="5" t="s">
        <v>336</v>
      </c>
      <c r="C18" s="3" t="s">
        <v>337</v>
      </c>
      <c r="D18" s="5" t="s">
        <v>80</v>
      </c>
      <c r="E18" s="5" t="s">
        <v>38</v>
      </c>
      <c r="F18" s="5" t="s">
        <v>81</v>
      </c>
      <c r="G18" s="5" t="s">
        <v>263</v>
      </c>
    </row>
    <row r="19" spans="1:7" ht="28.5" customHeight="1" x14ac:dyDescent="0.35">
      <c r="A19" s="5">
        <v>17</v>
      </c>
      <c r="B19" s="5" t="s">
        <v>343</v>
      </c>
      <c r="C19" s="3" t="s">
        <v>344</v>
      </c>
      <c r="D19" s="5" t="s">
        <v>86</v>
      </c>
      <c r="E19" s="5" t="s">
        <v>38</v>
      </c>
      <c r="F19" s="5" t="s">
        <v>87</v>
      </c>
      <c r="G19" s="5" t="s">
        <v>263</v>
      </c>
    </row>
    <row r="20" spans="1:7" ht="43.5" customHeight="1" x14ac:dyDescent="0.35">
      <c r="A20" s="5">
        <v>18</v>
      </c>
      <c r="B20" s="5" t="s">
        <v>348</v>
      </c>
      <c r="C20" s="3" t="s">
        <v>349</v>
      </c>
      <c r="D20" s="5" t="s">
        <v>37</v>
      </c>
      <c r="E20" s="5" t="s">
        <v>38</v>
      </c>
      <c r="F20" s="5" t="s">
        <v>350</v>
      </c>
      <c r="G20" s="5" t="s">
        <v>263</v>
      </c>
    </row>
    <row r="21" spans="1:7" ht="43.5" customHeight="1" x14ac:dyDescent="0.35">
      <c r="A21" s="5">
        <v>19</v>
      </c>
      <c r="B21" s="5" t="s">
        <v>356</v>
      </c>
      <c r="C21" s="3" t="s">
        <v>357</v>
      </c>
      <c r="D21" s="5" t="s">
        <v>301</v>
      </c>
      <c r="E21" s="5" t="s">
        <v>38</v>
      </c>
      <c r="F21" s="5" t="s">
        <v>350</v>
      </c>
      <c r="G21" s="5" t="s">
        <v>263</v>
      </c>
    </row>
    <row r="22" spans="1:7" ht="43.5" customHeight="1" x14ac:dyDescent="0.35">
      <c r="A22" s="5">
        <v>20</v>
      </c>
      <c r="B22" s="5" t="s">
        <v>360</v>
      </c>
      <c r="C22" s="3" t="s">
        <v>361</v>
      </c>
      <c r="D22" s="5" t="s">
        <v>86</v>
      </c>
      <c r="E22" s="5" t="s">
        <v>93</v>
      </c>
      <c r="F22" s="5" t="s">
        <v>94</v>
      </c>
      <c r="G22" s="5" t="s">
        <v>263</v>
      </c>
    </row>
    <row r="23" spans="1:7" ht="43.5" customHeight="1" x14ac:dyDescent="0.35">
      <c r="A23" s="5">
        <v>21</v>
      </c>
      <c r="B23" s="5" t="s">
        <v>368</v>
      </c>
      <c r="C23" s="3" t="s">
        <v>369</v>
      </c>
      <c r="D23" s="5" t="s">
        <v>37</v>
      </c>
      <c r="E23" s="5" t="s">
        <v>99</v>
      </c>
      <c r="F23" s="5" t="s">
        <v>370</v>
      </c>
      <c r="G23" s="5" t="s">
        <v>263</v>
      </c>
    </row>
    <row r="24" spans="1:7" ht="28.5" customHeight="1" x14ac:dyDescent="0.35">
      <c r="A24" s="5">
        <v>22</v>
      </c>
      <c r="B24" s="5" t="s">
        <v>376</v>
      </c>
      <c r="C24" s="3" t="s">
        <v>315</v>
      </c>
      <c r="D24" s="5" t="s">
        <v>37</v>
      </c>
      <c r="E24" s="5" t="s">
        <v>38</v>
      </c>
      <c r="F24" s="5" t="s">
        <v>65</v>
      </c>
      <c r="G24" s="5" t="s">
        <v>263</v>
      </c>
    </row>
    <row r="25" spans="1:7" ht="43.5" customHeight="1" x14ac:dyDescent="0.35">
      <c r="A25" s="5">
        <v>23</v>
      </c>
      <c r="B25" s="5" t="s">
        <v>381</v>
      </c>
      <c r="C25" s="3" t="s">
        <v>382</v>
      </c>
      <c r="D25" s="5" t="s">
        <v>107</v>
      </c>
      <c r="E25" s="5" t="s">
        <v>108</v>
      </c>
      <c r="F25" s="5" t="s">
        <v>383</v>
      </c>
      <c r="G25" s="5" t="s">
        <v>263</v>
      </c>
    </row>
    <row r="26" spans="1:7" ht="43.5" customHeight="1" x14ac:dyDescent="0.35">
      <c r="A26" s="5">
        <v>24</v>
      </c>
      <c r="B26" s="5" t="s">
        <v>389</v>
      </c>
      <c r="C26" s="3" t="s">
        <v>390</v>
      </c>
      <c r="D26" s="5" t="s">
        <v>112</v>
      </c>
      <c r="E26" s="5" t="s">
        <v>113</v>
      </c>
      <c r="F26" s="5" t="s">
        <v>391</v>
      </c>
      <c r="G26" s="5" t="s">
        <v>263</v>
      </c>
    </row>
    <row r="27" spans="1:7" ht="57.75" customHeight="1" x14ac:dyDescent="0.35">
      <c r="A27" s="5">
        <v>25</v>
      </c>
      <c r="B27" s="5" t="s">
        <v>395</v>
      </c>
      <c r="C27" s="3" t="s">
        <v>396</v>
      </c>
      <c r="D27" s="5" t="s">
        <v>30</v>
      </c>
      <c r="E27" s="5" t="s">
        <v>116</v>
      </c>
      <c r="F27" s="5" t="s">
        <v>386</v>
      </c>
      <c r="G27" s="5" t="s">
        <v>263</v>
      </c>
    </row>
    <row r="28" spans="1:7" ht="43.5" customHeight="1" x14ac:dyDescent="0.35">
      <c r="A28" s="5">
        <v>26</v>
      </c>
      <c r="B28" s="5" t="s">
        <v>399</v>
      </c>
      <c r="C28" s="3" t="s">
        <v>400</v>
      </c>
      <c r="D28" s="5" t="s">
        <v>118</v>
      </c>
      <c r="E28" s="5" t="s">
        <v>38</v>
      </c>
      <c r="F28" s="5" t="s">
        <v>119</v>
      </c>
      <c r="G28" s="5" t="s">
        <v>263</v>
      </c>
    </row>
    <row r="29" spans="1:7" ht="28.5" customHeight="1" x14ac:dyDescent="0.35">
      <c r="A29" s="5">
        <v>27</v>
      </c>
      <c r="B29" s="5" t="s">
        <v>410</v>
      </c>
      <c r="C29" s="3" t="s">
        <v>411</v>
      </c>
      <c r="D29" s="5" t="s">
        <v>118</v>
      </c>
      <c r="E29" s="5" t="s">
        <v>38</v>
      </c>
      <c r="F29" s="5" t="s">
        <v>412</v>
      </c>
      <c r="G29" s="5" t="s">
        <v>263</v>
      </c>
    </row>
    <row r="30" spans="1:7" ht="28.5" customHeight="1" x14ac:dyDescent="0.35">
      <c r="A30" s="5">
        <v>28</v>
      </c>
      <c r="B30" s="5" t="s">
        <v>416</v>
      </c>
      <c r="C30" s="3" t="s">
        <v>417</v>
      </c>
      <c r="D30" s="5" t="s">
        <v>118</v>
      </c>
      <c r="E30" s="5" t="s">
        <v>60</v>
      </c>
      <c r="F30" s="5" t="s">
        <v>418</v>
      </c>
      <c r="G30" s="5" t="s">
        <v>263</v>
      </c>
    </row>
    <row r="31" spans="1:7" ht="28.5" customHeight="1" x14ac:dyDescent="0.35">
      <c r="A31" s="5">
        <v>29</v>
      </c>
      <c r="B31" s="5" t="s">
        <v>421</v>
      </c>
      <c r="C31" s="3" t="s">
        <v>422</v>
      </c>
      <c r="D31" s="5" t="s">
        <v>130</v>
      </c>
      <c r="E31" s="5" t="s">
        <v>60</v>
      </c>
      <c r="F31" s="5" t="s">
        <v>131</v>
      </c>
      <c r="G31" s="5" t="s">
        <v>263</v>
      </c>
    </row>
    <row r="32" spans="1:7" ht="28.5" customHeight="1" x14ac:dyDescent="0.35">
      <c r="A32" s="5">
        <v>30</v>
      </c>
      <c r="B32" s="5" t="s">
        <v>423</v>
      </c>
      <c r="C32" s="3" t="s">
        <v>424</v>
      </c>
      <c r="D32" s="5" t="s">
        <v>132</v>
      </c>
      <c r="E32" s="5" t="s">
        <v>38</v>
      </c>
      <c r="F32" s="5" t="s">
        <v>133</v>
      </c>
      <c r="G32" s="5" t="s">
        <v>263</v>
      </c>
    </row>
    <row r="33" spans="1:7" ht="28.5" customHeight="1" x14ac:dyDescent="0.35">
      <c r="A33" s="5">
        <v>31</v>
      </c>
      <c r="B33" s="5" t="s">
        <v>429</v>
      </c>
      <c r="C33" s="3" t="s">
        <v>430</v>
      </c>
      <c r="D33" s="5" t="s">
        <v>37</v>
      </c>
      <c r="E33" s="5" t="s">
        <v>38</v>
      </c>
      <c r="F33" s="5" t="s">
        <v>135</v>
      </c>
      <c r="G33" s="5" t="s">
        <v>263</v>
      </c>
    </row>
    <row r="34" spans="1:7" ht="43.5" customHeight="1" x14ac:dyDescent="0.35">
      <c r="A34" s="5">
        <v>32</v>
      </c>
      <c r="B34" s="5" t="s">
        <v>435</v>
      </c>
      <c r="C34" s="3" t="s">
        <v>436</v>
      </c>
      <c r="D34" s="5" t="s">
        <v>75</v>
      </c>
      <c r="E34" s="5" t="s">
        <v>35</v>
      </c>
      <c r="F34" s="5" t="s">
        <v>138</v>
      </c>
      <c r="G34" s="5" t="s">
        <v>263</v>
      </c>
    </row>
    <row r="35" spans="1:7" ht="43.5" customHeight="1" x14ac:dyDescent="0.35">
      <c r="A35" s="5">
        <v>33</v>
      </c>
      <c r="B35" s="5" t="s">
        <v>439</v>
      </c>
      <c r="C35" s="3" t="s">
        <v>706</v>
      </c>
      <c r="D35" s="5" t="s">
        <v>139</v>
      </c>
      <c r="E35" s="5" t="s">
        <v>38</v>
      </c>
      <c r="F35" s="5" t="s">
        <v>441</v>
      </c>
      <c r="G35" s="5" t="s">
        <v>263</v>
      </c>
    </row>
    <row r="36" spans="1:7" ht="28.5" customHeight="1" x14ac:dyDescent="0.35">
      <c r="A36" s="5">
        <v>33</v>
      </c>
      <c r="B36" s="5" t="s">
        <v>442</v>
      </c>
      <c r="C36" s="3" t="s">
        <v>707</v>
      </c>
      <c r="D36" s="5" t="s">
        <v>139</v>
      </c>
      <c r="E36" s="5" t="s">
        <v>38</v>
      </c>
      <c r="F36" s="5" t="s">
        <v>443</v>
      </c>
      <c r="G36" s="5" t="s">
        <v>263</v>
      </c>
    </row>
    <row r="37" spans="1:7" ht="43.5" customHeight="1" x14ac:dyDescent="0.35">
      <c r="A37" s="5">
        <v>34</v>
      </c>
      <c r="B37" s="5" t="s">
        <v>446</v>
      </c>
      <c r="C37" s="3" t="s">
        <v>447</v>
      </c>
      <c r="D37" s="5" t="s">
        <v>86</v>
      </c>
      <c r="E37" s="5" t="s">
        <v>143</v>
      </c>
      <c r="F37" s="5" t="s">
        <v>70</v>
      </c>
      <c r="G37" s="5" t="s">
        <v>263</v>
      </c>
    </row>
    <row r="38" spans="1:7" ht="43.5" customHeight="1" x14ac:dyDescent="0.35">
      <c r="A38" s="5">
        <v>35</v>
      </c>
      <c r="B38" s="5" t="s">
        <v>451</v>
      </c>
      <c r="C38" s="3" t="s">
        <v>452</v>
      </c>
      <c r="D38" s="5" t="s">
        <v>30</v>
      </c>
      <c r="E38" s="5" t="s">
        <v>38</v>
      </c>
      <c r="F38" s="5" t="s">
        <v>133</v>
      </c>
      <c r="G38" s="5" t="s">
        <v>263</v>
      </c>
    </row>
    <row r="39" spans="1:7" ht="43.5" customHeight="1" x14ac:dyDescent="0.35">
      <c r="A39" s="5">
        <v>36</v>
      </c>
      <c r="B39" s="5" t="s">
        <v>455</v>
      </c>
      <c r="C39" s="3" t="s">
        <v>456</v>
      </c>
      <c r="D39" s="5" t="s">
        <v>30</v>
      </c>
      <c r="E39" s="5" t="s">
        <v>76</v>
      </c>
      <c r="F39" s="5" t="s">
        <v>61</v>
      </c>
      <c r="G39" s="5" t="s">
        <v>263</v>
      </c>
    </row>
    <row r="40" spans="1:7" ht="57.75" customHeight="1" x14ac:dyDescent="0.35">
      <c r="A40" s="5">
        <v>37</v>
      </c>
      <c r="B40" s="5" t="s">
        <v>460</v>
      </c>
      <c r="C40" s="3" t="s">
        <v>461</v>
      </c>
      <c r="D40" s="5" t="s">
        <v>30</v>
      </c>
      <c r="E40" s="5" t="s">
        <v>69</v>
      </c>
      <c r="F40" s="5" t="s">
        <v>462</v>
      </c>
      <c r="G40" s="5" t="s">
        <v>263</v>
      </c>
    </row>
    <row r="41" spans="1:7" ht="57.75" customHeight="1" x14ac:dyDescent="0.35">
      <c r="A41" s="5">
        <v>38</v>
      </c>
      <c r="B41" s="5" t="s">
        <v>466</v>
      </c>
      <c r="C41" s="3" t="s">
        <v>467</v>
      </c>
      <c r="D41" s="5" t="s">
        <v>30</v>
      </c>
      <c r="E41" s="5" t="s">
        <v>150</v>
      </c>
      <c r="F41" s="5" t="s">
        <v>462</v>
      </c>
      <c r="G41" s="5" t="s">
        <v>263</v>
      </c>
    </row>
    <row r="42" spans="1:7" ht="43.5" customHeight="1" x14ac:dyDescent="0.35">
      <c r="A42" s="5">
        <v>39</v>
      </c>
      <c r="B42" s="5" t="s">
        <v>469</v>
      </c>
      <c r="C42" s="3" t="s">
        <v>470</v>
      </c>
      <c r="D42" s="5" t="s">
        <v>30</v>
      </c>
      <c r="E42" s="5" t="s">
        <v>151</v>
      </c>
      <c r="F42" s="5" t="s">
        <v>471</v>
      </c>
      <c r="G42" s="5" t="s">
        <v>263</v>
      </c>
    </row>
    <row r="43" spans="1:7" ht="28.5" customHeight="1" x14ac:dyDescent="0.35">
      <c r="A43" s="5">
        <v>40</v>
      </c>
      <c r="B43" s="5" t="s">
        <v>479</v>
      </c>
      <c r="C43" s="3" t="s">
        <v>480</v>
      </c>
      <c r="D43" s="5" t="s">
        <v>156</v>
      </c>
      <c r="E43" s="5" t="s">
        <v>481</v>
      </c>
      <c r="F43" s="5" t="s">
        <v>274</v>
      </c>
      <c r="G43" s="5" t="s">
        <v>263</v>
      </c>
    </row>
    <row r="44" spans="1:7" ht="28.5" customHeight="1" x14ac:dyDescent="0.35">
      <c r="A44" s="5">
        <v>41</v>
      </c>
      <c r="B44" s="5" t="s">
        <v>484</v>
      </c>
      <c r="C44" s="3" t="s">
        <v>485</v>
      </c>
      <c r="D44" s="5" t="s">
        <v>159</v>
      </c>
      <c r="E44" s="5" t="s">
        <v>38</v>
      </c>
      <c r="F44" s="5" t="s">
        <v>160</v>
      </c>
      <c r="G44" s="5" t="s">
        <v>263</v>
      </c>
    </row>
    <row r="45" spans="1:7" ht="28.5" customHeight="1" x14ac:dyDescent="0.35">
      <c r="A45" s="5">
        <v>42</v>
      </c>
      <c r="B45" s="5" t="s">
        <v>489</v>
      </c>
      <c r="C45" s="3" t="s">
        <v>490</v>
      </c>
      <c r="D45" s="5" t="s">
        <v>30</v>
      </c>
      <c r="E45" s="5" t="s">
        <v>38</v>
      </c>
      <c r="F45" s="5" t="s">
        <v>391</v>
      </c>
      <c r="G45" s="5" t="s">
        <v>263</v>
      </c>
    </row>
    <row r="46" spans="1:7" ht="28.5" customHeight="1" x14ac:dyDescent="0.35">
      <c r="A46" s="5">
        <v>43</v>
      </c>
      <c r="B46" s="5" t="s">
        <v>493</v>
      </c>
      <c r="C46" s="3" t="s">
        <v>494</v>
      </c>
      <c r="D46" s="5" t="s">
        <v>165</v>
      </c>
      <c r="E46" s="5" t="s">
        <v>166</v>
      </c>
      <c r="F46" s="5" t="s">
        <v>63</v>
      </c>
      <c r="G46" s="5" t="s">
        <v>263</v>
      </c>
    </row>
    <row r="47" spans="1:7" ht="28.5" customHeight="1" x14ac:dyDescent="0.35">
      <c r="A47" s="5">
        <v>44</v>
      </c>
      <c r="B47" s="5" t="s">
        <v>499</v>
      </c>
      <c r="C47" s="3" t="s">
        <v>500</v>
      </c>
      <c r="D47" s="5" t="s">
        <v>501</v>
      </c>
      <c r="E47" s="5" t="s">
        <v>38</v>
      </c>
      <c r="F47" s="5" t="s">
        <v>171</v>
      </c>
      <c r="G47" s="5" t="s">
        <v>263</v>
      </c>
    </row>
    <row r="48" spans="1:7" ht="28.5" customHeight="1" x14ac:dyDescent="0.35">
      <c r="A48" s="5">
        <v>45</v>
      </c>
      <c r="B48" s="5" t="s">
        <v>504</v>
      </c>
      <c r="C48" s="3" t="s">
        <v>505</v>
      </c>
      <c r="D48" s="5" t="s">
        <v>112</v>
      </c>
      <c r="E48" s="5" t="s">
        <v>38</v>
      </c>
      <c r="F48" s="5" t="s">
        <v>171</v>
      </c>
      <c r="G48" s="5" t="s">
        <v>263</v>
      </c>
    </row>
    <row r="49" spans="1:7" ht="43.5" customHeight="1" x14ac:dyDescent="0.35">
      <c r="A49" s="5">
        <v>46</v>
      </c>
      <c r="B49" s="5" t="s">
        <v>507</v>
      </c>
      <c r="C49" s="3" t="s">
        <v>508</v>
      </c>
      <c r="D49" s="5" t="s">
        <v>509</v>
      </c>
      <c r="E49" s="5" t="s">
        <v>174</v>
      </c>
      <c r="F49" s="5" t="s">
        <v>510</v>
      </c>
      <c r="G49" s="5" t="s">
        <v>263</v>
      </c>
    </row>
    <row r="50" spans="1:7" ht="43.5" customHeight="1" x14ac:dyDescent="0.35">
      <c r="A50" s="5">
        <v>47</v>
      </c>
      <c r="B50" s="5" t="s">
        <v>514</v>
      </c>
      <c r="C50" s="3" t="s">
        <v>515</v>
      </c>
      <c r="D50" s="5" t="s">
        <v>516</v>
      </c>
      <c r="E50" s="5" t="s">
        <v>174</v>
      </c>
      <c r="F50" s="5" t="s">
        <v>510</v>
      </c>
      <c r="G50" s="5" t="s">
        <v>263</v>
      </c>
    </row>
    <row r="51" spans="1:7" ht="43.5" customHeight="1" x14ac:dyDescent="0.35">
      <c r="A51" s="5">
        <v>49</v>
      </c>
      <c r="B51" s="5" t="s">
        <v>522</v>
      </c>
      <c r="C51" s="3" t="s">
        <v>523</v>
      </c>
      <c r="D51" s="5" t="s">
        <v>112</v>
      </c>
      <c r="E51" s="5" t="s">
        <v>46</v>
      </c>
      <c r="F51" s="5" t="s">
        <v>524</v>
      </c>
      <c r="G51" s="5" t="s">
        <v>263</v>
      </c>
    </row>
    <row r="52" spans="1:7" ht="28.5" customHeight="1" x14ac:dyDescent="0.35">
      <c r="A52" s="5">
        <v>50</v>
      </c>
      <c r="B52" s="5" t="s">
        <v>530</v>
      </c>
      <c r="C52" s="3" t="s">
        <v>531</v>
      </c>
      <c r="D52" s="5" t="s">
        <v>262</v>
      </c>
      <c r="E52" s="5" t="s">
        <v>54</v>
      </c>
      <c r="F52" s="5" t="s">
        <v>186</v>
      </c>
      <c r="G52" s="5" t="s">
        <v>263</v>
      </c>
    </row>
    <row r="53" spans="1:7" ht="28.5" customHeight="1" x14ac:dyDescent="0.35">
      <c r="A53" s="5">
        <v>51</v>
      </c>
      <c r="B53" s="5" t="s">
        <v>532</v>
      </c>
      <c r="C53" s="3" t="s">
        <v>533</v>
      </c>
      <c r="D53" s="5" t="s">
        <v>262</v>
      </c>
      <c r="E53" s="5" t="s">
        <v>38</v>
      </c>
      <c r="F53" s="5" t="s">
        <v>171</v>
      </c>
      <c r="G53" s="5" t="s">
        <v>263</v>
      </c>
    </row>
    <row r="54" spans="1:7" ht="87" customHeight="1" x14ac:dyDescent="0.35">
      <c r="A54" s="5">
        <v>52</v>
      </c>
      <c r="B54" s="5" t="s">
        <v>535</v>
      </c>
      <c r="C54" s="3" t="s">
        <v>536</v>
      </c>
      <c r="D54" s="5" t="s">
        <v>537</v>
      </c>
      <c r="E54" s="5" t="s">
        <v>108</v>
      </c>
      <c r="F54" s="5" t="s">
        <v>465</v>
      </c>
      <c r="G54" s="5" t="s">
        <v>263</v>
      </c>
    </row>
    <row r="55" spans="1:7" ht="43.5" customHeight="1" x14ac:dyDescent="0.35">
      <c r="A55" s="5">
        <v>53</v>
      </c>
      <c r="B55" s="5" t="s">
        <v>543</v>
      </c>
      <c r="C55" s="3" t="s">
        <v>544</v>
      </c>
      <c r="D55" s="5" t="s">
        <v>192</v>
      </c>
      <c r="E55" s="5" t="s">
        <v>193</v>
      </c>
      <c r="F55" s="5" t="s">
        <v>70</v>
      </c>
      <c r="G55" s="5" t="s">
        <v>263</v>
      </c>
    </row>
    <row r="56" spans="1:7" ht="28.5" customHeight="1" x14ac:dyDescent="0.35">
      <c r="A56" s="5">
        <v>54</v>
      </c>
      <c r="B56" s="5" t="s">
        <v>547</v>
      </c>
      <c r="C56" s="3" t="s">
        <v>548</v>
      </c>
      <c r="D56" s="5" t="s">
        <v>30</v>
      </c>
      <c r="E56" s="5" t="s">
        <v>38</v>
      </c>
      <c r="F56" s="5" t="s">
        <v>196</v>
      </c>
      <c r="G56" s="5" t="s">
        <v>263</v>
      </c>
    </row>
    <row r="57" spans="1:7" ht="28.5" customHeight="1" x14ac:dyDescent="0.35">
      <c r="A57" s="5">
        <v>55</v>
      </c>
      <c r="B57" s="5" t="s">
        <v>552</v>
      </c>
      <c r="C57" s="3" t="s">
        <v>553</v>
      </c>
      <c r="D57" s="5" t="s">
        <v>262</v>
      </c>
      <c r="E57" s="5" t="s">
        <v>38</v>
      </c>
      <c r="F57" s="5" t="s">
        <v>81</v>
      </c>
      <c r="G57" s="5" t="s">
        <v>263</v>
      </c>
    </row>
    <row r="58" spans="1:7" ht="43.5" customHeight="1" x14ac:dyDescent="0.35">
      <c r="A58" s="5">
        <v>56</v>
      </c>
      <c r="B58" s="5" t="s">
        <v>556</v>
      </c>
      <c r="C58" s="3" t="s">
        <v>708</v>
      </c>
      <c r="D58" s="5" t="s">
        <v>37</v>
      </c>
      <c r="E58" s="5" t="s">
        <v>60</v>
      </c>
      <c r="F58" s="5" t="s">
        <v>418</v>
      </c>
      <c r="G58" s="5" t="s">
        <v>263</v>
      </c>
    </row>
    <row r="59" spans="1:7" ht="43.5" customHeight="1" x14ac:dyDescent="0.35">
      <c r="A59" s="5">
        <v>56</v>
      </c>
      <c r="B59" s="5" t="s">
        <v>558</v>
      </c>
      <c r="C59" s="3" t="s">
        <v>709</v>
      </c>
      <c r="D59" s="5" t="s">
        <v>37</v>
      </c>
      <c r="E59" s="5" t="s">
        <v>60</v>
      </c>
      <c r="F59" s="5" t="s">
        <v>199</v>
      </c>
      <c r="G59" s="5" t="s">
        <v>263</v>
      </c>
    </row>
    <row r="60" spans="1:7" ht="43.5" customHeight="1" x14ac:dyDescent="0.35">
      <c r="A60" s="5">
        <v>58</v>
      </c>
      <c r="B60" s="5" t="s">
        <v>566</v>
      </c>
      <c r="C60" s="3" t="s">
        <v>349</v>
      </c>
      <c r="D60" s="5" t="s">
        <v>37</v>
      </c>
      <c r="E60" s="5" t="s">
        <v>38</v>
      </c>
      <c r="F60" s="5" t="s">
        <v>350</v>
      </c>
      <c r="G60" s="5" t="s">
        <v>263</v>
      </c>
    </row>
    <row r="61" spans="1:7" ht="43.5" customHeight="1" x14ac:dyDescent="0.35">
      <c r="A61" s="5">
        <v>59</v>
      </c>
      <c r="B61" s="5" t="s">
        <v>567</v>
      </c>
      <c r="C61" s="3" t="s">
        <v>357</v>
      </c>
      <c r="D61" s="5" t="s">
        <v>301</v>
      </c>
      <c r="E61" s="5" t="s">
        <v>38</v>
      </c>
      <c r="F61" s="5" t="s">
        <v>350</v>
      </c>
      <c r="G61" s="5" t="s">
        <v>263</v>
      </c>
    </row>
    <row r="62" spans="1:7" ht="28.5" customHeight="1" x14ac:dyDescent="0.35">
      <c r="A62" s="5">
        <v>60</v>
      </c>
      <c r="B62" s="5" t="s">
        <v>568</v>
      </c>
      <c r="C62" s="3" t="s">
        <v>569</v>
      </c>
      <c r="D62" s="5" t="s">
        <v>301</v>
      </c>
      <c r="E62" s="5" t="s">
        <v>38</v>
      </c>
      <c r="F62" s="5" t="s">
        <v>39</v>
      </c>
      <c r="G62" s="5" t="s">
        <v>263</v>
      </c>
    </row>
    <row r="63" spans="1:7" ht="28.5" customHeight="1" x14ac:dyDescent="0.35">
      <c r="A63" s="5">
        <v>62</v>
      </c>
      <c r="B63" s="5" t="s">
        <v>578</v>
      </c>
      <c r="C63" s="3" t="s">
        <v>579</v>
      </c>
      <c r="D63" s="5" t="s">
        <v>301</v>
      </c>
      <c r="E63" s="5" t="s">
        <v>38</v>
      </c>
      <c r="F63" s="5" t="s">
        <v>580</v>
      </c>
      <c r="G63" s="5" t="s">
        <v>263</v>
      </c>
    </row>
    <row r="64" spans="1:7" ht="43.5" customHeight="1" x14ac:dyDescent="0.35">
      <c r="A64" s="5">
        <v>63</v>
      </c>
      <c r="B64" s="5" t="s">
        <v>585</v>
      </c>
      <c r="C64" s="3" t="s">
        <v>710</v>
      </c>
      <c r="D64" s="5" t="s">
        <v>301</v>
      </c>
      <c r="E64" s="5" t="s">
        <v>38</v>
      </c>
      <c r="F64" s="5" t="s">
        <v>209</v>
      </c>
      <c r="G64" s="5" t="s">
        <v>263</v>
      </c>
    </row>
    <row r="65" spans="1:7" ht="43.5" customHeight="1" x14ac:dyDescent="0.35">
      <c r="A65" s="5">
        <v>63</v>
      </c>
      <c r="B65" s="5" t="s">
        <v>590</v>
      </c>
      <c r="C65" s="3" t="s">
        <v>711</v>
      </c>
      <c r="D65" s="5" t="s">
        <v>301</v>
      </c>
      <c r="E65" s="5" t="s">
        <v>38</v>
      </c>
      <c r="F65" s="5" t="s">
        <v>210</v>
      </c>
      <c r="G65" s="5" t="s">
        <v>263</v>
      </c>
    </row>
    <row r="66" spans="1:7" ht="43.5" customHeight="1" x14ac:dyDescent="0.35">
      <c r="A66" s="5">
        <v>64</v>
      </c>
      <c r="B66" s="5" t="s">
        <v>593</v>
      </c>
      <c r="C66" s="3" t="s">
        <v>594</v>
      </c>
      <c r="D66" s="5" t="s">
        <v>37</v>
      </c>
      <c r="E66" s="5" t="s">
        <v>38</v>
      </c>
      <c r="F66" s="5" t="s">
        <v>70</v>
      </c>
      <c r="G66" s="5" t="s">
        <v>263</v>
      </c>
    </row>
    <row r="67" spans="1:7" ht="28.5" customHeight="1" x14ac:dyDescent="0.35">
      <c r="A67" s="5">
        <v>65</v>
      </c>
      <c r="B67" s="5" t="s">
        <v>598</v>
      </c>
      <c r="C67" s="3" t="s">
        <v>599</v>
      </c>
      <c r="D67" s="5" t="s">
        <v>37</v>
      </c>
      <c r="E67" s="5" t="s">
        <v>38</v>
      </c>
      <c r="F67" s="5" t="s">
        <v>580</v>
      </c>
      <c r="G67" s="5" t="s">
        <v>263</v>
      </c>
    </row>
    <row r="68" spans="1:7" ht="28.5" customHeight="1" x14ac:dyDescent="0.35">
      <c r="A68" s="5">
        <v>67</v>
      </c>
      <c r="B68" s="5" t="s">
        <v>609</v>
      </c>
      <c r="C68" s="3" t="s">
        <v>712</v>
      </c>
      <c r="D68" s="5" t="s">
        <v>37</v>
      </c>
      <c r="E68" s="5" t="s">
        <v>38</v>
      </c>
      <c r="F68" s="5" t="s">
        <v>209</v>
      </c>
      <c r="G68" s="5" t="s">
        <v>263</v>
      </c>
    </row>
    <row r="69" spans="1:7" ht="28.5" customHeight="1" x14ac:dyDescent="0.35">
      <c r="A69" s="5">
        <v>67</v>
      </c>
      <c r="B69" s="5" t="s">
        <v>611</v>
      </c>
      <c r="C69" s="3" t="s">
        <v>713</v>
      </c>
      <c r="D69" s="5" t="s">
        <v>37</v>
      </c>
      <c r="E69" s="5" t="s">
        <v>38</v>
      </c>
      <c r="F69" s="5" t="s">
        <v>210</v>
      </c>
      <c r="G69" s="5" t="s">
        <v>263</v>
      </c>
    </row>
    <row r="70" spans="1:7" ht="28.5" customHeight="1" x14ac:dyDescent="0.35">
      <c r="A70" s="5">
        <v>67</v>
      </c>
      <c r="B70" s="5" t="s">
        <v>615</v>
      </c>
      <c r="C70" s="3" t="s">
        <v>714</v>
      </c>
      <c r="D70" s="5" t="s">
        <v>37</v>
      </c>
      <c r="E70" s="5" t="s">
        <v>38</v>
      </c>
      <c r="F70" s="5" t="s">
        <v>210</v>
      </c>
      <c r="G70" s="5" t="s">
        <v>263</v>
      </c>
    </row>
    <row r="71" spans="1:7" ht="43.5" customHeight="1" x14ac:dyDescent="0.35">
      <c r="A71" s="5">
        <v>69</v>
      </c>
      <c r="B71" s="5" t="s">
        <v>623</v>
      </c>
      <c r="C71" s="3" t="s">
        <v>624</v>
      </c>
      <c r="D71" s="5" t="s">
        <v>80</v>
      </c>
      <c r="E71" s="5" t="s">
        <v>46</v>
      </c>
      <c r="F71" s="5" t="s">
        <v>622</v>
      </c>
      <c r="G71" s="5" t="s">
        <v>263</v>
      </c>
    </row>
    <row r="72" spans="1:7" ht="28.5" customHeight="1" x14ac:dyDescent="0.35">
      <c r="A72" s="5">
        <v>70</v>
      </c>
      <c r="B72" s="5" t="s">
        <v>627</v>
      </c>
      <c r="C72" s="3" t="s">
        <v>628</v>
      </c>
      <c r="D72" s="5" t="s">
        <v>37</v>
      </c>
      <c r="E72" s="5" t="s">
        <v>38</v>
      </c>
      <c r="F72" s="5" t="s">
        <v>302</v>
      </c>
      <c r="G72" s="5" t="s">
        <v>263</v>
      </c>
    </row>
    <row r="73" spans="1:7" ht="43.5" customHeight="1" x14ac:dyDescent="0.35">
      <c r="A73" s="5">
        <v>71</v>
      </c>
      <c r="B73" s="5" t="s">
        <v>632</v>
      </c>
      <c r="C73" s="3" t="s">
        <v>633</v>
      </c>
      <c r="D73" s="5" t="s">
        <v>224</v>
      </c>
      <c r="E73" s="5" t="s">
        <v>76</v>
      </c>
      <c r="F73" s="5" t="s">
        <v>634</v>
      </c>
      <c r="G73" s="5" t="s">
        <v>263</v>
      </c>
    </row>
    <row r="74" spans="1:7" ht="28.5" customHeight="1" x14ac:dyDescent="0.35">
      <c r="A74" s="5">
        <v>72</v>
      </c>
      <c r="B74" s="5" t="s">
        <v>639</v>
      </c>
      <c r="C74" s="3" t="s">
        <v>715</v>
      </c>
      <c r="D74" s="5" t="s">
        <v>226</v>
      </c>
      <c r="E74" s="5" t="s">
        <v>38</v>
      </c>
      <c r="F74" s="5" t="s">
        <v>227</v>
      </c>
      <c r="G74" s="5" t="s">
        <v>263</v>
      </c>
    </row>
    <row r="75" spans="1:7" ht="43.5" customHeight="1" x14ac:dyDescent="0.35">
      <c r="A75" s="5">
        <v>72</v>
      </c>
      <c r="B75" s="5" t="s">
        <v>641</v>
      </c>
      <c r="C75" s="3" t="s">
        <v>716</v>
      </c>
      <c r="D75" s="5" t="s">
        <v>226</v>
      </c>
      <c r="E75" s="5" t="s">
        <v>38</v>
      </c>
      <c r="F75" s="5" t="s">
        <v>302</v>
      </c>
      <c r="G75" s="5" t="s">
        <v>263</v>
      </c>
    </row>
    <row r="76" spans="1:7" ht="43.5" customHeight="1" x14ac:dyDescent="0.35">
      <c r="A76" s="5">
        <v>73</v>
      </c>
      <c r="B76" s="5" t="s">
        <v>642</v>
      </c>
      <c r="C76" s="3" t="s">
        <v>643</v>
      </c>
      <c r="D76" s="5" t="s">
        <v>30</v>
      </c>
      <c r="E76" s="5" t="s">
        <v>230</v>
      </c>
      <c r="F76" s="5" t="s">
        <v>644</v>
      </c>
      <c r="G76" s="5" t="s">
        <v>263</v>
      </c>
    </row>
    <row r="77" spans="1:7" ht="43.5" customHeight="1" x14ac:dyDescent="0.35">
      <c r="A77" s="5">
        <v>74</v>
      </c>
      <c r="B77" s="5" t="s">
        <v>648</v>
      </c>
      <c r="C77" s="3" t="s">
        <v>649</v>
      </c>
      <c r="D77" s="5" t="s">
        <v>30</v>
      </c>
      <c r="E77" s="5" t="s">
        <v>230</v>
      </c>
      <c r="F77" s="5" t="s">
        <v>644</v>
      </c>
      <c r="G77" s="5" t="s">
        <v>263</v>
      </c>
    </row>
    <row r="78" spans="1:7" ht="43.5" customHeight="1" x14ac:dyDescent="0.35">
      <c r="A78" s="5">
        <v>75</v>
      </c>
      <c r="B78" s="5" t="s">
        <v>653</v>
      </c>
      <c r="C78" s="3" t="s">
        <v>654</v>
      </c>
      <c r="D78" s="5" t="s">
        <v>30</v>
      </c>
      <c r="E78" s="5" t="s">
        <v>230</v>
      </c>
      <c r="F78" s="5" t="s">
        <v>644</v>
      </c>
      <c r="G78" s="5" t="s">
        <v>263</v>
      </c>
    </row>
    <row r="79" spans="1:7" ht="28.5" customHeight="1" x14ac:dyDescent="0.35">
      <c r="A79" s="5">
        <v>76</v>
      </c>
      <c r="B79" s="5" t="s">
        <v>658</v>
      </c>
      <c r="C79" s="3" t="s">
        <v>659</v>
      </c>
      <c r="D79" s="5" t="s">
        <v>237</v>
      </c>
      <c r="E79" s="5" t="s">
        <v>230</v>
      </c>
      <c r="F79" s="5" t="s">
        <v>644</v>
      </c>
      <c r="G79" s="5" t="s">
        <v>263</v>
      </c>
    </row>
    <row r="80" spans="1:7" ht="28.5" customHeight="1" x14ac:dyDescent="0.35">
      <c r="A80" s="5">
        <v>77</v>
      </c>
      <c r="B80" s="5" t="s">
        <v>663</v>
      </c>
      <c r="C80" s="3" t="s">
        <v>664</v>
      </c>
      <c r="D80" s="5" t="s">
        <v>237</v>
      </c>
      <c r="E80" s="5" t="s">
        <v>230</v>
      </c>
      <c r="F80" s="5" t="s">
        <v>644</v>
      </c>
      <c r="G80" s="5" t="s">
        <v>263</v>
      </c>
    </row>
    <row r="81" spans="1:7" ht="28.5" customHeight="1" x14ac:dyDescent="0.35">
      <c r="A81" s="5">
        <v>78</v>
      </c>
      <c r="B81" s="5" t="s">
        <v>667</v>
      </c>
      <c r="C81" s="3" t="s">
        <v>668</v>
      </c>
      <c r="D81" s="5" t="s">
        <v>237</v>
      </c>
      <c r="E81" s="5" t="s">
        <v>230</v>
      </c>
      <c r="F81" s="5" t="s">
        <v>644</v>
      </c>
      <c r="G81" s="5" t="s">
        <v>263</v>
      </c>
    </row>
    <row r="82" spans="1:7" ht="28.5" customHeight="1" x14ac:dyDescent="0.35">
      <c r="A82" s="5">
        <v>79</v>
      </c>
      <c r="B82" s="5" t="s">
        <v>671</v>
      </c>
      <c r="C82" s="3" t="s">
        <v>672</v>
      </c>
      <c r="D82" s="5" t="s">
        <v>37</v>
      </c>
      <c r="E82" s="5" t="s">
        <v>239</v>
      </c>
      <c r="F82" s="5" t="s">
        <v>673</v>
      </c>
      <c r="G82" s="5" t="s">
        <v>263</v>
      </c>
    </row>
    <row r="83" spans="1:7" ht="43.5" customHeight="1" x14ac:dyDescent="0.35">
      <c r="A83" s="5">
        <v>80</v>
      </c>
      <c r="B83" s="5" t="s">
        <v>677</v>
      </c>
      <c r="C83" s="3" t="s">
        <v>678</v>
      </c>
      <c r="D83" s="5" t="s">
        <v>30</v>
      </c>
      <c r="E83" s="5" t="s">
        <v>69</v>
      </c>
      <c r="F83" s="5" t="s">
        <v>241</v>
      </c>
      <c r="G83" s="5" t="s">
        <v>263</v>
      </c>
    </row>
    <row r="84" spans="1:7" ht="28.5" customHeight="1" x14ac:dyDescent="0.35">
      <c r="A84" s="5">
        <v>81</v>
      </c>
      <c r="B84" s="5" t="s">
        <v>691</v>
      </c>
      <c r="C84" s="3" t="s">
        <v>692</v>
      </c>
      <c r="D84" s="5" t="s">
        <v>37</v>
      </c>
      <c r="E84" s="5" t="s">
        <v>54</v>
      </c>
      <c r="F84" s="5" t="s">
        <v>693</v>
      </c>
      <c r="G84" s="5" t="s">
        <v>263</v>
      </c>
    </row>
    <row r="85" spans="1:7" ht="28.5" customHeight="1" x14ac:dyDescent="0.35">
      <c r="A85" s="5">
        <v>82</v>
      </c>
      <c r="B85" s="5" t="s">
        <v>694</v>
      </c>
      <c r="C85" s="3" t="s">
        <v>695</v>
      </c>
      <c r="D85" s="5" t="s">
        <v>165</v>
      </c>
      <c r="E85" s="5" t="s">
        <v>60</v>
      </c>
      <c r="F85" s="5" t="s">
        <v>36</v>
      </c>
      <c r="G85" s="5" t="s">
        <v>263</v>
      </c>
    </row>
    <row r="86" spans="1:7" ht="14.5" x14ac:dyDescent="0.35">
      <c r="A86" s="3"/>
      <c r="B86" s="3"/>
      <c r="C86" s="3"/>
      <c r="D86" s="3"/>
      <c r="E86" s="3"/>
      <c r="F86" s="3"/>
      <c r="G86" s="3"/>
    </row>
    <row r="87" spans="1:7" ht="14.5" x14ac:dyDescent="0.35">
      <c r="A87" s="3"/>
      <c r="B87" s="3"/>
      <c r="C87" s="3"/>
      <c r="D87" s="3"/>
      <c r="E87" s="3"/>
      <c r="F87" s="3"/>
      <c r="G87" s="3"/>
    </row>
    <row r="88" spans="1:7" ht="14.5" x14ac:dyDescent="0.35">
      <c r="A88" s="3"/>
      <c r="B88" s="3"/>
      <c r="C88" s="3"/>
      <c r="D88" s="3"/>
      <c r="E88" s="3"/>
      <c r="F88" s="3"/>
      <c r="G88" s="3"/>
    </row>
    <row r="89" spans="1:7" ht="14.5" x14ac:dyDescent="0.35">
      <c r="A89" s="3"/>
      <c r="B89" s="3"/>
      <c r="C89" s="3"/>
      <c r="D89" s="3"/>
      <c r="E89" s="3"/>
      <c r="F89" s="3"/>
      <c r="G89" s="3"/>
    </row>
    <row r="90" spans="1:7" ht="14.5" x14ac:dyDescent="0.35">
      <c r="A90" s="3"/>
      <c r="B90" s="3"/>
      <c r="C90" s="3"/>
      <c r="D90" s="3"/>
      <c r="E90" s="3"/>
      <c r="F90" s="3"/>
      <c r="G90" s="3"/>
    </row>
    <row r="91" spans="1:7" ht="14.5" x14ac:dyDescent="0.35">
      <c r="A91" s="3"/>
      <c r="B91" s="3"/>
      <c r="C91" s="3"/>
      <c r="D91" s="3"/>
      <c r="E91" s="3"/>
      <c r="F91" s="3"/>
      <c r="G91" s="3"/>
    </row>
    <row r="92" spans="1:7" ht="14.5" x14ac:dyDescent="0.35">
      <c r="A92" s="3"/>
      <c r="B92" s="3"/>
      <c r="C92" s="3"/>
      <c r="D92" s="3"/>
      <c r="E92" s="3"/>
      <c r="F92" s="3"/>
      <c r="G92" s="3"/>
    </row>
    <row r="93" spans="1:7" ht="14.5" x14ac:dyDescent="0.35">
      <c r="A93" s="3"/>
      <c r="B93" s="3"/>
      <c r="C93" s="3"/>
      <c r="D93" s="3"/>
      <c r="E93" s="3"/>
      <c r="F93" s="3"/>
      <c r="G93" s="3"/>
    </row>
    <row r="94" spans="1:7" ht="14.5" x14ac:dyDescent="0.35">
      <c r="A94" s="3"/>
      <c r="B94" s="3"/>
      <c r="C94" s="3"/>
      <c r="D94" s="3"/>
      <c r="E94" s="3"/>
      <c r="F94" s="3"/>
      <c r="G94" s="3"/>
    </row>
    <row r="95" spans="1:7" ht="14.5" x14ac:dyDescent="0.35">
      <c r="A95" s="3"/>
      <c r="B95" s="3"/>
      <c r="C95" s="3"/>
      <c r="D95" s="3"/>
      <c r="E95" s="3"/>
      <c r="F95" s="3"/>
      <c r="G95" s="3"/>
    </row>
    <row r="96" spans="1:7" ht="14.5" x14ac:dyDescent="0.35">
      <c r="A96" s="3"/>
      <c r="B96" s="3"/>
      <c r="C96" s="3"/>
      <c r="D96" s="3"/>
      <c r="E96" s="3"/>
      <c r="F96" s="3"/>
      <c r="G96" s="3"/>
    </row>
    <row r="97" spans="1:7" ht="14.5" x14ac:dyDescent="0.35">
      <c r="A97" s="3"/>
      <c r="B97" s="3"/>
      <c r="C97" s="3"/>
      <c r="D97" s="3"/>
      <c r="E97" s="3"/>
      <c r="F97" s="3"/>
      <c r="G97" s="3"/>
    </row>
    <row r="98" spans="1:7" ht="14.5" x14ac:dyDescent="0.35">
      <c r="A98" s="3"/>
      <c r="B98" s="3"/>
      <c r="C98" s="3"/>
      <c r="D98" s="3"/>
      <c r="E98" s="3"/>
      <c r="F98" s="3"/>
      <c r="G98" s="3"/>
    </row>
    <row r="99" spans="1:7" ht="14.5" x14ac:dyDescent="0.35">
      <c r="A99" s="3"/>
      <c r="B99" s="3"/>
      <c r="C99" s="3"/>
      <c r="D99" s="3"/>
      <c r="E99" s="3"/>
      <c r="F99" s="3"/>
      <c r="G99" s="3"/>
    </row>
    <row r="100" spans="1:7" ht="14.5" x14ac:dyDescent="0.35">
      <c r="A100" s="3"/>
      <c r="B100" s="3"/>
      <c r="C100" s="3"/>
      <c r="D100" s="3"/>
      <c r="E100" s="3"/>
      <c r="F100" s="3"/>
      <c r="G100" s="3"/>
    </row>
    <row r="101" spans="1:7" ht="14.5" x14ac:dyDescent="0.35">
      <c r="A101" s="3"/>
      <c r="B101" s="3"/>
      <c r="C101" s="3"/>
      <c r="D101" s="3"/>
      <c r="E101" s="3"/>
      <c r="F101" s="3"/>
      <c r="G101" s="3"/>
    </row>
    <row r="102" spans="1:7" ht="14.5" x14ac:dyDescent="0.35">
      <c r="A102" s="3"/>
      <c r="B102" s="3"/>
      <c r="C102" s="3"/>
      <c r="D102" s="3"/>
      <c r="E102" s="3"/>
      <c r="F102" s="3"/>
      <c r="G102" s="3"/>
    </row>
    <row r="103" spans="1:7" ht="14.5" x14ac:dyDescent="0.35">
      <c r="A103" s="3"/>
      <c r="B103" s="3"/>
      <c r="C103" s="3"/>
      <c r="D103" s="3"/>
      <c r="E103" s="3"/>
      <c r="F103" s="3"/>
      <c r="G103" s="3"/>
    </row>
    <row r="104" spans="1:7" ht="14.5" x14ac:dyDescent="0.35">
      <c r="A104" s="3"/>
      <c r="B104" s="3"/>
      <c r="C104" s="3"/>
      <c r="D104" s="3"/>
      <c r="E104" s="3"/>
      <c r="F104" s="3"/>
      <c r="G104" s="3"/>
    </row>
    <row r="105" spans="1:7" ht="14.5" x14ac:dyDescent="0.35">
      <c r="A105" s="3"/>
      <c r="B105" s="3"/>
      <c r="C105" s="3"/>
      <c r="D105" s="3"/>
      <c r="E105" s="3"/>
      <c r="F105" s="3"/>
      <c r="G105" s="3"/>
    </row>
    <row r="106" spans="1:7" ht="14.5" x14ac:dyDescent="0.35">
      <c r="A106" s="3"/>
      <c r="B106" s="3"/>
      <c r="C106" s="3"/>
      <c r="D106" s="3"/>
      <c r="E106" s="3"/>
      <c r="F106" s="3"/>
      <c r="G106" s="3"/>
    </row>
    <row r="107" spans="1:7" ht="14.5" x14ac:dyDescent="0.35">
      <c r="A107" s="3"/>
      <c r="B107" s="3"/>
      <c r="C107" s="3"/>
      <c r="D107" s="3"/>
      <c r="E107" s="3"/>
      <c r="F107" s="3"/>
      <c r="G107" s="3"/>
    </row>
    <row r="108" spans="1:7" ht="14.5" x14ac:dyDescent="0.35">
      <c r="A108" s="3"/>
      <c r="B108" s="3"/>
      <c r="C108" s="3"/>
      <c r="D108" s="3"/>
      <c r="E108" s="3"/>
      <c r="F108" s="3"/>
      <c r="G108" s="3"/>
    </row>
    <row r="109" spans="1:7" ht="14.5" x14ac:dyDescent="0.35">
      <c r="A109" s="3"/>
      <c r="B109" s="3"/>
      <c r="C109" s="3"/>
      <c r="D109" s="3"/>
      <c r="E109" s="3"/>
      <c r="F109" s="3"/>
      <c r="G109" s="3"/>
    </row>
    <row r="110" spans="1:7" ht="14.5" x14ac:dyDescent="0.35">
      <c r="A110" s="3"/>
      <c r="B110" s="3"/>
      <c r="C110" s="3"/>
      <c r="D110" s="3"/>
      <c r="E110" s="3"/>
      <c r="F110" s="3"/>
      <c r="G110" s="3"/>
    </row>
    <row r="111" spans="1:7" ht="14.5" x14ac:dyDescent="0.35">
      <c r="A111" s="3"/>
      <c r="B111" s="3"/>
      <c r="C111" s="3"/>
      <c r="D111" s="3"/>
      <c r="E111" s="3"/>
      <c r="F111" s="3"/>
      <c r="G111" s="3"/>
    </row>
    <row r="112" spans="1:7" ht="14.5" x14ac:dyDescent="0.35">
      <c r="A112" s="3"/>
      <c r="B112" s="3"/>
      <c r="C112" s="3"/>
      <c r="D112" s="3"/>
      <c r="E112" s="3"/>
      <c r="F112" s="3"/>
      <c r="G112" s="3"/>
    </row>
    <row r="113" spans="1:7" ht="14.5" x14ac:dyDescent="0.35">
      <c r="A113" s="3"/>
      <c r="B113" s="3"/>
      <c r="C113" s="3"/>
      <c r="D113" s="3"/>
      <c r="E113" s="3"/>
      <c r="F113" s="3"/>
      <c r="G113" s="3"/>
    </row>
    <row r="114" spans="1:7" ht="14.5" x14ac:dyDescent="0.35">
      <c r="A114" s="3"/>
      <c r="B114" s="3"/>
      <c r="C114" s="3"/>
      <c r="D114" s="3"/>
      <c r="E114" s="3"/>
      <c r="F114" s="3"/>
      <c r="G114" s="3"/>
    </row>
    <row r="115" spans="1:7" ht="14.5" x14ac:dyDescent="0.35">
      <c r="A115" s="3"/>
      <c r="B115" s="3"/>
      <c r="C115" s="3"/>
      <c r="D115" s="3"/>
      <c r="E115" s="3"/>
      <c r="F115" s="3"/>
      <c r="G115" s="3"/>
    </row>
    <row r="116" spans="1:7" ht="14.5" x14ac:dyDescent="0.35">
      <c r="A116" s="3"/>
      <c r="B116" s="3"/>
      <c r="C116" s="3"/>
      <c r="D116" s="3"/>
      <c r="E116" s="3"/>
      <c r="F116" s="3"/>
      <c r="G116" s="3"/>
    </row>
    <row r="117" spans="1:7" ht="14.5" x14ac:dyDescent="0.35">
      <c r="A117" s="3"/>
      <c r="B117" s="3"/>
      <c r="C117" s="3"/>
      <c r="D117" s="3"/>
      <c r="E117" s="3"/>
      <c r="F117" s="3"/>
      <c r="G117" s="3"/>
    </row>
    <row r="118" spans="1:7" ht="14.5" x14ac:dyDescent="0.35">
      <c r="A118" s="3"/>
      <c r="B118" s="3"/>
      <c r="C118" s="3"/>
      <c r="D118" s="3"/>
      <c r="E118" s="3"/>
      <c r="F118" s="3"/>
      <c r="G118" s="3"/>
    </row>
    <row r="119" spans="1:7" ht="14.5" x14ac:dyDescent="0.35">
      <c r="A119" s="3"/>
      <c r="B119" s="3"/>
      <c r="C119" s="3"/>
      <c r="D119" s="3"/>
      <c r="E119" s="3"/>
      <c r="F119" s="3"/>
      <c r="G119" s="3"/>
    </row>
    <row r="120" spans="1:7" ht="14.5" x14ac:dyDescent="0.35">
      <c r="A120" s="3"/>
      <c r="B120" s="3"/>
      <c r="C120" s="3"/>
      <c r="D120" s="3"/>
      <c r="E120" s="3"/>
      <c r="F120" s="3"/>
      <c r="G120" s="3"/>
    </row>
    <row r="121" spans="1:7" ht="14.5" x14ac:dyDescent="0.35">
      <c r="A121" s="3"/>
      <c r="B121" s="3"/>
      <c r="C121" s="3"/>
      <c r="D121" s="3"/>
      <c r="E121" s="3"/>
      <c r="F121" s="3"/>
      <c r="G121" s="3"/>
    </row>
    <row r="122" spans="1:7" ht="14.5" x14ac:dyDescent="0.35">
      <c r="A122" s="3"/>
      <c r="B122" s="3"/>
      <c r="C122" s="3"/>
      <c r="D122" s="3"/>
      <c r="E122" s="3"/>
      <c r="F122" s="3"/>
      <c r="G122" s="3"/>
    </row>
    <row r="123" spans="1:7" ht="14.5" x14ac:dyDescent="0.35">
      <c r="A123" s="3"/>
      <c r="B123" s="3"/>
      <c r="C123" s="3"/>
      <c r="D123" s="3"/>
      <c r="E123" s="3"/>
      <c r="F123" s="3"/>
      <c r="G123" s="3"/>
    </row>
    <row r="124" spans="1:7" ht="14.5" x14ac:dyDescent="0.35">
      <c r="A124" s="3"/>
      <c r="B124" s="3"/>
      <c r="C124" s="3"/>
      <c r="D124" s="3"/>
      <c r="E124" s="3"/>
      <c r="F124" s="3"/>
      <c r="G124" s="3"/>
    </row>
    <row r="125" spans="1:7" ht="14.5" x14ac:dyDescent="0.35">
      <c r="A125" s="3"/>
      <c r="B125" s="3"/>
      <c r="C125" s="3"/>
      <c r="D125" s="3"/>
      <c r="E125" s="3"/>
      <c r="F125" s="3"/>
      <c r="G125" s="3"/>
    </row>
    <row r="126" spans="1:7" ht="14.5" x14ac:dyDescent="0.35">
      <c r="A126" s="3"/>
      <c r="B126" s="3"/>
      <c r="C126" s="3"/>
      <c r="D126" s="3"/>
      <c r="E126" s="3"/>
      <c r="F126" s="3"/>
      <c r="G126" s="3"/>
    </row>
    <row r="127" spans="1:7" ht="14.5" x14ac:dyDescent="0.35">
      <c r="A127" s="3"/>
      <c r="B127" s="3"/>
      <c r="C127" s="3"/>
      <c r="D127" s="3"/>
      <c r="E127" s="3"/>
      <c r="F127" s="3"/>
      <c r="G127" s="3"/>
    </row>
    <row r="128" spans="1:7" ht="14.5" x14ac:dyDescent="0.35">
      <c r="A128" s="3"/>
      <c r="B128" s="3"/>
      <c r="C128" s="3"/>
      <c r="D128" s="3"/>
      <c r="E128" s="3"/>
      <c r="F128" s="3"/>
      <c r="G128" s="3"/>
    </row>
    <row r="129" spans="1:7" ht="14.5" x14ac:dyDescent="0.35">
      <c r="A129" s="3"/>
      <c r="B129" s="3"/>
      <c r="C129" s="3"/>
      <c r="D129" s="3"/>
      <c r="E129" s="3"/>
      <c r="F129" s="3"/>
      <c r="G129" s="3"/>
    </row>
    <row r="130" spans="1:7" ht="14.5" x14ac:dyDescent="0.35">
      <c r="A130" s="3"/>
      <c r="B130" s="3"/>
      <c r="C130" s="3"/>
      <c r="D130" s="3"/>
      <c r="E130" s="3"/>
      <c r="F130" s="3"/>
      <c r="G130" s="3"/>
    </row>
    <row r="131" spans="1:7" ht="14.5" x14ac:dyDescent="0.35">
      <c r="A131" s="3"/>
      <c r="B131" s="3"/>
      <c r="C131" s="3"/>
      <c r="D131" s="3"/>
      <c r="E131" s="3"/>
      <c r="F131" s="3"/>
      <c r="G131" s="3"/>
    </row>
    <row r="132" spans="1:7" ht="14.5" x14ac:dyDescent="0.35">
      <c r="A132" s="3"/>
      <c r="B132" s="3"/>
      <c r="C132" s="3"/>
      <c r="D132" s="3"/>
      <c r="E132" s="3"/>
      <c r="F132" s="3"/>
      <c r="G132" s="3"/>
    </row>
    <row r="133" spans="1:7" ht="14.5" x14ac:dyDescent="0.35">
      <c r="A133" s="3"/>
      <c r="B133" s="3"/>
      <c r="C133" s="3"/>
      <c r="D133" s="3"/>
      <c r="E133" s="3"/>
      <c r="F133" s="3"/>
      <c r="G133" s="3"/>
    </row>
    <row r="134" spans="1:7" ht="14.5" x14ac:dyDescent="0.35">
      <c r="A134" s="3"/>
      <c r="B134" s="3"/>
      <c r="C134" s="3"/>
      <c r="D134" s="3"/>
      <c r="E134" s="3"/>
      <c r="F134" s="3"/>
      <c r="G134" s="3"/>
    </row>
    <row r="135" spans="1:7" ht="14.5" x14ac:dyDescent="0.35">
      <c r="A135" s="3"/>
      <c r="B135" s="3"/>
      <c r="C135" s="3"/>
      <c r="D135" s="3"/>
      <c r="E135" s="3"/>
      <c r="F135" s="3"/>
      <c r="G135" s="3"/>
    </row>
    <row r="136" spans="1:7" ht="14.5" x14ac:dyDescent="0.35">
      <c r="A136" s="3"/>
      <c r="B136" s="3"/>
      <c r="C136" s="3"/>
      <c r="D136" s="3"/>
      <c r="E136" s="3"/>
      <c r="F136" s="3"/>
      <c r="G136" s="3"/>
    </row>
    <row r="137" spans="1:7" ht="14.5" x14ac:dyDescent="0.35">
      <c r="A137" s="3"/>
      <c r="B137" s="3"/>
      <c r="C137" s="3"/>
      <c r="D137" s="3"/>
      <c r="E137" s="3"/>
      <c r="F137" s="3"/>
      <c r="G137" s="3"/>
    </row>
    <row r="138" spans="1:7" ht="14.5" x14ac:dyDescent="0.35">
      <c r="A138" s="3"/>
      <c r="B138" s="3"/>
      <c r="C138" s="3"/>
      <c r="D138" s="3"/>
      <c r="E138" s="3"/>
      <c r="F138" s="3"/>
      <c r="G138" s="3"/>
    </row>
    <row r="139" spans="1:7" ht="14.5" x14ac:dyDescent="0.35">
      <c r="A139" s="3"/>
      <c r="B139" s="3"/>
      <c r="C139" s="3"/>
      <c r="D139" s="3"/>
      <c r="E139" s="3"/>
      <c r="F139" s="3"/>
      <c r="G139" s="3"/>
    </row>
    <row r="140" spans="1:7" ht="14.5" x14ac:dyDescent="0.35">
      <c r="A140" s="3"/>
      <c r="B140" s="3"/>
      <c r="C140" s="3"/>
      <c r="D140" s="3"/>
      <c r="E140" s="3"/>
      <c r="F140" s="3"/>
      <c r="G140" s="3"/>
    </row>
    <row r="141" spans="1:7" ht="14.5" x14ac:dyDescent="0.35">
      <c r="A141" s="3"/>
      <c r="B141" s="3"/>
      <c r="C141" s="3"/>
      <c r="D141" s="3"/>
      <c r="E141" s="3"/>
      <c r="F141" s="3"/>
      <c r="G141" s="3"/>
    </row>
    <row r="142" spans="1:7" ht="14.5" x14ac:dyDescent="0.35">
      <c r="A142" s="3"/>
      <c r="B142" s="3"/>
      <c r="C142" s="3"/>
      <c r="D142" s="3"/>
      <c r="E142" s="3"/>
      <c r="F142" s="3"/>
      <c r="G142" s="3"/>
    </row>
    <row r="143" spans="1:7" ht="14.5" x14ac:dyDescent="0.35">
      <c r="A143" s="3"/>
      <c r="B143" s="3"/>
      <c r="C143" s="3"/>
      <c r="D143" s="3"/>
      <c r="E143" s="3"/>
      <c r="F143" s="3"/>
      <c r="G143" s="3"/>
    </row>
    <row r="144" spans="1:7" ht="14.5" x14ac:dyDescent="0.35">
      <c r="A144" s="3"/>
      <c r="B144" s="3"/>
      <c r="C144" s="3"/>
      <c r="D144" s="3"/>
      <c r="E144" s="3"/>
      <c r="F144" s="3"/>
      <c r="G144" s="3"/>
    </row>
    <row r="145" spans="1:7" ht="14.5" x14ac:dyDescent="0.35">
      <c r="A145" s="3"/>
      <c r="B145" s="3"/>
      <c r="C145" s="3"/>
      <c r="D145" s="3"/>
      <c r="E145" s="3"/>
      <c r="F145" s="3"/>
      <c r="G145" s="3"/>
    </row>
    <row r="146" spans="1:7" ht="14.5" x14ac:dyDescent="0.35">
      <c r="A146" s="3"/>
      <c r="B146" s="3"/>
      <c r="C146" s="3"/>
      <c r="D146" s="3"/>
      <c r="E146" s="3"/>
      <c r="F146" s="3"/>
      <c r="G146" s="3"/>
    </row>
    <row r="147" spans="1:7" ht="14.5" x14ac:dyDescent="0.35">
      <c r="A147" s="3"/>
      <c r="B147" s="3"/>
      <c r="C147" s="3"/>
      <c r="D147" s="3"/>
      <c r="E147" s="3"/>
      <c r="F147" s="3"/>
      <c r="G147" s="3"/>
    </row>
    <row r="148" spans="1:7" ht="14.5" x14ac:dyDescent="0.35">
      <c r="A148" s="3"/>
      <c r="B148" s="3"/>
      <c r="C148" s="3"/>
      <c r="D148" s="3"/>
      <c r="E148" s="3"/>
      <c r="F148" s="3"/>
      <c r="G148" s="3"/>
    </row>
    <row r="149" spans="1:7" ht="14.5" x14ac:dyDescent="0.35">
      <c r="A149" s="3"/>
      <c r="B149" s="3"/>
      <c r="C149" s="3"/>
      <c r="D149" s="3"/>
      <c r="E149" s="3"/>
      <c r="F149" s="3"/>
      <c r="G149" s="3"/>
    </row>
    <row r="150" spans="1:7" ht="14.5" x14ac:dyDescent="0.35">
      <c r="A150" s="3"/>
      <c r="B150" s="3"/>
      <c r="C150" s="3"/>
      <c r="D150" s="3"/>
      <c r="E150" s="3"/>
      <c r="F150" s="3"/>
      <c r="G150" s="3"/>
    </row>
    <row r="151" spans="1:7" ht="14.5" x14ac:dyDescent="0.35">
      <c r="A151" s="3"/>
      <c r="B151" s="3"/>
      <c r="C151" s="3"/>
      <c r="D151" s="3"/>
      <c r="E151" s="3"/>
      <c r="F151" s="3"/>
      <c r="G151" s="3"/>
    </row>
    <row r="152" spans="1:7" ht="14.5" x14ac:dyDescent="0.35">
      <c r="A152" s="3"/>
      <c r="B152" s="3"/>
      <c r="C152" s="3"/>
      <c r="D152" s="3"/>
      <c r="E152" s="3"/>
      <c r="F152" s="3"/>
      <c r="G152" s="3"/>
    </row>
    <row r="153" spans="1:7" ht="14.5" x14ac:dyDescent="0.35">
      <c r="A153" s="3"/>
      <c r="B153" s="3"/>
      <c r="C153" s="3"/>
      <c r="D153" s="3"/>
      <c r="E153" s="3"/>
      <c r="F153" s="3"/>
      <c r="G153" s="3"/>
    </row>
    <row r="154" spans="1:7" ht="14.5" x14ac:dyDescent="0.35">
      <c r="A154" s="3"/>
      <c r="B154" s="3"/>
      <c r="C154" s="3"/>
      <c r="D154" s="3"/>
      <c r="E154" s="3"/>
      <c r="F154" s="3"/>
      <c r="G154" s="3"/>
    </row>
    <row r="155" spans="1:7" ht="14.5" x14ac:dyDescent="0.35">
      <c r="A155" s="3"/>
      <c r="B155" s="3"/>
      <c r="C155" s="3"/>
      <c r="D155" s="3"/>
      <c r="E155" s="3"/>
      <c r="F155" s="3"/>
      <c r="G155" s="3"/>
    </row>
    <row r="156" spans="1:7" ht="14.5" x14ac:dyDescent="0.35">
      <c r="A156" s="3"/>
      <c r="B156" s="3"/>
      <c r="C156" s="3"/>
      <c r="D156" s="3"/>
      <c r="E156" s="3"/>
      <c r="F156" s="3"/>
      <c r="G156" s="3"/>
    </row>
    <row r="157" spans="1:7" ht="14.5" x14ac:dyDescent="0.35">
      <c r="A157" s="3"/>
      <c r="B157" s="3"/>
      <c r="C157" s="3"/>
      <c r="D157" s="3"/>
      <c r="E157" s="3"/>
      <c r="F157" s="3"/>
      <c r="G157" s="3"/>
    </row>
    <row r="158" spans="1:7" ht="14.5" x14ac:dyDescent="0.35">
      <c r="A158" s="3"/>
      <c r="B158" s="3"/>
      <c r="C158" s="3"/>
      <c r="D158" s="3"/>
      <c r="E158" s="3"/>
      <c r="F158" s="3"/>
      <c r="G158" s="3"/>
    </row>
    <row r="159" spans="1:7" ht="14.5" x14ac:dyDescent="0.35">
      <c r="A159" s="3"/>
      <c r="B159" s="3"/>
      <c r="C159" s="3"/>
      <c r="D159" s="3"/>
      <c r="E159" s="3"/>
      <c r="F159" s="3"/>
      <c r="G159" s="3"/>
    </row>
    <row r="160" spans="1:7" ht="14.5" x14ac:dyDescent="0.35">
      <c r="A160" s="3"/>
      <c r="B160" s="3"/>
      <c r="C160" s="3"/>
      <c r="D160" s="3"/>
      <c r="E160" s="3"/>
      <c r="F160" s="3"/>
      <c r="G160" s="3"/>
    </row>
    <row r="161" spans="1:7" ht="14.5" x14ac:dyDescent="0.35">
      <c r="A161" s="3"/>
      <c r="B161" s="3"/>
      <c r="C161" s="3"/>
      <c r="D161" s="3"/>
      <c r="E161" s="3"/>
      <c r="F161" s="3"/>
      <c r="G161" s="3"/>
    </row>
    <row r="162" spans="1:7" ht="14.5" x14ac:dyDescent="0.35">
      <c r="A162" s="3"/>
      <c r="B162" s="3"/>
      <c r="C162" s="3"/>
      <c r="D162" s="3"/>
      <c r="E162" s="3"/>
      <c r="F162" s="3"/>
      <c r="G162" s="3"/>
    </row>
    <row r="163" spans="1:7" ht="14.5" x14ac:dyDescent="0.35">
      <c r="A163" s="3"/>
      <c r="B163" s="3"/>
      <c r="C163" s="3"/>
      <c r="D163" s="3"/>
      <c r="E163" s="3"/>
      <c r="F163" s="3"/>
      <c r="G163" s="3"/>
    </row>
    <row r="164" spans="1:7" ht="14.5" x14ac:dyDescent="0.35">
      <c r="A164" s="3"/>
      <c r="B164" s="3"/>
      <c r="C164" s="3"/>
      <c r="D164" s="3"/>
      <c r="E164" s="3"/>
      <c r="F164" s="3"/>
      <c r="G164" s="3"/>
    </row>
    <row r="165" spans="1:7" ht="14.5" x14ac:dyDescent="0.35">
      <c r="A165" s="3"/>
      <c r="B165" s="3"/>
      <c r="C165" s="3"/>
      <c r="D165" s="3"/>
      <c r="E165" s="3"/>
      <c r="F165" s="3"/>
      <c r="G165" s="3"/>
    </row>
    <row r="166" spans="1:7" ht="14.5" x14ac:dyDescent="0.35">
      <c r="A166" s="3"/>
      <c r="B166" s="3"/>
      <c r="C166" s="3"/>
      <c r="D166" s="3"/>
      <c r="E166" s="3"/>
      <c r="F166" s="3"/>
      <c r="G166" s="3"/>
    </row>
    <row r="167" spans="1:7" ht="14.5" x14ac:dyDescent="0.35">
      <c r="A167" s="3"/>
      <c r="B167" s="3"/>
      <c r="C167" s="3"/>
      <c r="D167" s="3"/>
      <c r="E167" s="3"/>
      <c r="F167" s="3"/>
      <c r="G167" s="3"/>
    </row>
    <row r="168" spans="1:7" ht="14.5" x14ac:dyDescent="0.35">
      <c r="A168" s="3"/>
      <c r="B168" s="3"/>
      <c r="C168" s="3"/>
      <c r="D168" s="3"/>
      <c r="E168" s="3"/>
      <c r="F168" s="3"/>
      <c r="G168" s="3"/>
    </row>
    <row r="169" spans="1:7" ht="14.5" x14ac:dyDescent="0.35">
      <c r="A169" s="3"/>
      <c r="B169" s="3"/>
      <c r="C169" s="3"/>
      <c r="D169" s="3"/>
      <c r="E169" s="3"/>
      <c r="F169" s="3"/>
      <c r="G169" s="3"/>
    </row>
    <row r="170" spans="1:7" ht="14.5" x14ac:dyDescent="0.35">
      <c r="A170" s="3"/>
      <c r="B170" s="3"/>
      <c r="C170" s="3"/>
      <c r="D170" s="3"/>
      <c r="E170" s="3"/>
      <c r="F170" s="3"/>
      <c r="G170" s="3"/>
    </row>
    <row r="171" spans="1:7" ht="14.5" x14ac:dyDescent="0.35">
      <c r="A171" s="3"/>
      <c r="B171" s="3"/>
      <c r="C171" s="3"/>
      <c r="D171" s="3"/>
      <c r="E171" s="3"/>
      <c r="F171" s="3"/>
      <c r="G171" s="3"/>
    </row>
    <row r="172" spans="1:7" ht="14.5" x14ac:dyDescent="0.35">
      <c r="A172" s="3"/>
      <c r="B172" s="3"/>
      <c r="C172" s="3"/>
      <c r="D172" s="3"/>
      <c r="E172" s="3"/>
      <c r="F172" s="3"/>
      <c r="G172" s="3"/>
    </row>
    <row r="173" spans="1:7" ht="14.5" x14ac:dyDescent="0.35">
      <c r="A173" s="3"/>
      <c r="B173" s="3"/>
      <c r="C173" s="3"/>
      <c r="D173" s="3"/>
      <c r="E173" s="3"/>
      <c r="F173" s="3"/>
      <c r="G173" s="3"/>
    </row>
    <row r="174" spans="1:7" ht="14.5" x14ac:dyDescent="0.35">
      <c r="A174" s="3"/>
      <c r="B174" s="3"/>
      <c r="C174" s="3"/>
      <c r="D174" s="3"/>
      <c r="E174" s="3"/>
      <c r="F174" s="3"/>
      <c r="G174" s="3"/>
    </row>
  </sheetData>
  <autoFilter ref="A1:G1" xr:uid="{00000000-0009-0000-0000-000003000000}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6"/>
  <sheetViews>
    <sheetView tabSelected="1" zoomScale="130" zoomScaleNormal="130" workbookViewId="0">
      <pane ySplit="1" topLeftCell="A2" activePane="bottomLeft" state="frozen"/>
      <selection pane="bottomLeft" activeCell="H2" sqref="H2"/>
    </sheetView>
  </sheetViews>
  <sheetFormatPr defaultColWidth="8.7265625" defaultRowHeight="14.25" customHeight="1" x14ac:dyDescent="0.35"/>
  <cols>
    <col min="1" max="1" width="13.1796875" customWidth="1"/>
    <col min="3" max="3" width="28.26953125" customWidth="1"/>
    <col min="4" max="10" width="13.6328125" style="3" customWidth="1"/>
    <col min="11" max="12" width="13.6328125" style="5" customWidth="1"/>
  </cols>
  <sheetData>
    <row r="1" spans="1:15" ht="57.75" customHeight="1" x14ac:dyDescent="0.35">
      <c r="A1" s="6" t="str">
        <f>'Normalised Goal'!$A1</f>
        <v>ORIGINAL USID</v>
      </c>
      <c r="B1" s="6" t="str">
        <f>'Normalised Goal'!$B1</f>
        <v>USID</v>
      </c>
      <c r="C1" s="6" t="s">
        <v>717</v>
      </c>
      <c r="D1" s="6" t="s">
        <v>718</v>
      </c>
      <c r="E1" s="6" t="s">
        <v>719</v>
      </c>
      <c r="F1" s="6" t="s">
        <v>719</v>
      </c>
      <c r="G1" s="6" t="s">
        <v>719</v>
      </c>
      <c r="H1" s="6" t="s">
        <v>720</v>
      </c>
      <c r="I1" s="6"/>
      <c r="J1" s="6"/>
      <c r="K1" s="2"/>
      <c r="L1" s="6" t="s">
        <v>721</v>
      </c>
      <c r="M1" s="9" t="s">
        <v>722</v>
      </c>
      <c r="N1" s="9"/>
      <c r="O1" s="9"/>
    </row>
    <row r="2" spans="1:15" ht="28.5" customHeight="1" x14ac:dyDescent="0.35">
      <c r="A2" s="5">
        <f>'Normalised Goal'!$A2</f>
        <v>1</v>
      </c>
      <c r="B2" s="5" t="str">
        <f>'Normalised Goal'!$B2</f>
        <v>G-1</v>
      </c>
      <c r="C2" s="3" t="str">
        <f>'Normalised Goal'!$C2</f>
        <v>As a PI, I want to properly record all metadata.</v>
      </c>
      <c r="D2" s="3" t="str">
        <f>'Normalised Goal'!$E2</f>
        <v>properly record</v>
      </c>
      <c r="E2" s="3" t="s">
        <v>723</v>
      </c>
      <c r="F2" s="3" t="s">
        <v>723</v>
      </c>
      <c r="G2" s="3" t="s">
        <v>724</v>
      </c>
      <c r="H2" s="3" t="str">
        <f t="array" ref="H2">INDEX(_xlfn.UNIQUE($E2:$G2), MODE(MATCH(_xlfn.UNIQUE($E2:$G2), $E2:$G2, 0)))</f>
        <v>c</v>
      </c>
      <c r="I2" s="3" t="str">
        <f>_xlfn.XLOOKUP($D2, Normalised!H:H, Normalised!G:G, "")</f>
        <v/>
      </c>
      <c r="J2" s="3" t="str">
        <f t="array" ref="J2">IFERROR(_xlfn.TEXTJOIN(",", TRUE(), _xlfn._xlws.SORT(VALUE(_xlfn._xlws.FILTER(Normalised!G:G, Normalised!H:H=$D2)))), "")</f>
        <v/>
      </c>
    </row>
    <row r="3" spans="1:15" ht="43.5" customHeight="1" x14ac:dyDescent="0.35">
      <c r="A3" s="5">
        <f>'Normalised Goal'!$A3</f>
        <v>2</v>
      </c>
      <c r="B3" s="5" t="str">
        <f>'Normalised Goal'!$B3</f>
        <v>G-2</v>
      </c>
      <c r="C3" s="3" t="str">
        <f>'Normalised Goal'!$C3</f>
        <v>As a researcher, I want to indicate where my data will be stored during the project</v>
      </c>
      <c r="D3" s="3" t="str">
        <f>'Normalised Goal'!$E3</f>
        <v>indicate</v>
      </c>
      <c r="E3" s="3" t="s">
        <v>723</v>
      </c>
      <c r="F3" s="3" t="s">
        <v>724</v>
      </c>
      <c r="G3" s="3" t="s">
        <v>723</v>
      </c>
      <c r="H3" s="3" t="str">
        <f t="array" ref="H3">INDEX(_xlfn.UNIQUE($E3:$G3), MODE(MATCH(_xlfn.UNIQUE($E3:$G3), $E3:$G3, 0)))</f>
        <v>c</v>
      </c>
      <c r="I3" s="3" t="str">
        <f>_xlfn.XLOOKUP($D3, Normalised!H:H, Normalised!G:G, "")</f>
        <v/>
      </c>
      <c r="J3" s="3" t="str">
        <f t="array" ref="J3">IFERROR(_xlfn.TEXTJOIN(",", TRUE(), _xlfn._xlws.SORT(VALUE(_xlfn._xlws.FILTER(Normalised!G:G, Normalised!H:H=$D3)))), "")</f>
        <v/>
      </c>
    </row>
    <row r="4" spans="1:15" ht="43.5" customHeight="1" x14ac:dyDescent="0.35">
      <c r="A4" s="5">
        <f>'Normalised Goal'!$A4</f>
        <v>2</v>
      </c>
      <c r="B4" s="5" t="str">
        <f>'Normalised Goal'!$B4</f>
        <v>G-3</v>
      </c>
      <c r="C4" s="3" t="str">
        <f>'Normalised Goal'!$C4</f>
        <v>As a researcher, I want to indicate where my data will be stored after the project.</v>
      </c>
      <c r="D4" s="3" t="str">
        <f>'Normalised Goal'!$E4</f>
        <v>indicate</v>
      </c>
      <c r="E4" s="3" t="s">
        <v>723</v>
      </c>
      <c r="F4" s="3" t="s">
        <v>724</v>
      </c>
      <c r="G4" s="3" t="s">
        <v>723</v>
      </c>
      <c r="H4" s="3" t="str">
        <f t="array" ref="H4">INDEX(_xlfn.UNIQUE($E4:$G4), MODE(MATCH(_xlfn.UNIQUE($E4:$G4), $E4:$G4, 0)))</f>
        <v>c</v>
      </c>
      <c r="I4" s="3" t="str">
        <f>_xlfn.XLOOKUP($D4, Normalised!H:H, Normalised!G:G, "")</f>
        <v/>
      </c>
      <c r="J4" s="3" t="str">
        <f t="array" ref="J4">IFERROR(_xlfn.TEXTJOIN(",", TRUE(), _xlfn._xlws.SORT(VALUE(_xlfn._xlws.FILTER(Normalised!G:G, Normalised!H:H=$D4)))), "")</f>
        <v/>
      </c>
    </row>
    <row r="5" spans="1:15" ht="43.5" customHeight="1" x14ac:dyDescent="0.35">
      <c r="A5" s="5">
        <f>'Normalised Goal'!$A5</f>
        <v>3</v>
      </c>
      <c r="B5" s="5" t="str">
        <f>'Normalised Goal'!$B5</f>
        <v>G-4</v>
      </c>
      <c r="C5" s="3" t="str">
        <f>'Normalised Goal'!$C5</f>
        <v>As a researcher, I want to import metadata that I captured with a metadata tool.</v>
      </c>
      <c r="D5" s="3" t="str">
        <f>'Normalised Goal'!$E5</f>
        <v>import</v>
      </c>
      <c r="E5" s="3" t="s">
        <v>724</v>
      </c>
      <c r="F5" s="3" t="s">
        <v>723</v>
      </c>
      <c r="G5" s="3" t="s">
        <v>724</v>
      </c>
      <c r="H5" s="3" t="str">
        <f t="array" ref="H5">INDEX(_xlfn.UNIQUE($E5:$G5), MODE(MATCH(_xlfn.UNIQUE($E5:$G5), $E5:$G5, 0)))</f>
        <v>r</v>
      </c>
    </row>
    <row r="6" spans="1:15" ht="28.5" customHeight="1" x14ac:dyDescent="0.35">
      <c r="A6" s="5">
        <f>'Normalised Goal'!$A6</f>
        <v>4</v>
      </c>
      <c r="B6" s="5" t="str">
        <f>'Normalised Goal'!$B6</f>
        <v>G-5</v>
      </c>
      <c r="C6" s="3" t="str">
        <f>'Normalised Goal'!$C6</f>
        <v>As a data manager, I want to know how the data is used.</v>
      </c>
      <c r="D6" s="3" t="str">
        <f>'Normalised Goal'!$E6</f>
        <v>know</v>
      </c>
      <c r="E6" s="3" t="s">
        <v>724</v>
      </c>
      <c r="F6" s="3" t="s">
        <v>724</v>
      </c>
      <c r="G6" s="3" t="s">
        <v>724</v>
      </c>
      <c r="H6" s="3" t="str">
        <f t="array" ref="H6">INDEX(_xlfn.UNIQUE($E6:$G6), MODE(MATCH(_xlfn.UNIQUE($E6:$G6), $E6:$G6, 0)))</f>
        <v>r</v>
      </c>
    </row>
    <row r="7" spans="1:15" ht="72" customHeight="1" x14ac:dyDescent="0.35">
      <c r="A7" s="5">
        <f>'Normalised Goal'!$A7</f>
        <v>5</v>
      </c>
      <c r="B7" s="5" t="str">
        <f>'Normalised Goal'!$B7</f>
        <v>G-6</v>
      </c>
      <c r="C7" s="3" t="str">
        <f>'Normalised Goal'!$C7</f>
        <v>As a repository owner, I want to be able to check the planned provenance of the data that will be submitted at the end of a project.</v>
      </c>
      <c r="D7" s="3" t="str">
        <f>'Normalised Goal'!$E7</f>
        <v>check</v>
      </c>
      <c r="E7" s="3" t="s">
        <v>724</v>
      </c>
      <c r="F7" s="3" t="s">
        <v>724</v>
      </c>
      <c r="G7" s="3" t="s">
        <v>724</v>
      </c>
      <c r="H7" s="3" t="str">
        <f t="array" ref="H7">INDEX(_xlfn.UNIQUE($E7:$G7), MODE(MATCH(_xlfn.UNIQUE($E7:$G7), $E7:$G7, 0)))</f>
        <v>r</v>
      </c>
    </row>
    <row r="8" spans="1:15" ht="43.5" customHeight="1" x14ac:dyDescent="0.35">
      <c r="A8" s="5">
        <f>'Normalised Goal'!$A8</f>
        <v>6</v>
      </c>
      <c r="B8" s="5" t="str">
        <f>'Normalised Goal'!$B8</f>
        <v>G-7</v>
      </c>
      <c r="C8" s="3" t="str">
        <f>'Normalised Goal'!$C8</f>
        <v>As an IT manager, I want to know about IT resource requirements early in the project lifecycle.</v>
      </c>
      <c r="D8" s="3" t="str">
        <f>'Normalised Goal'!$E8</f>
        <v>know</v>
      </c>
      <c r="E8" s="3" t="s">
        <v>724</v>
      </c>
      <c r="F8" s="3" t="s">
        <v>724</v>
      </c>
      <c r="G8" s="3" t="s">
        <v>724</v>
      </c>
      <c r="H8" s="3" t="str">
        <f t="array" ref="H8">INDEX(_xlfn.UNIQUE($E8:$G8), MODE(MATCH(_xlfn.UNIQUE($E8:$G8), $E8:$G8, 0)))</f>
        <v>r</v>
      </c>
    </row>
    <row r="9" spans="1:15" ht="28.5" customHeight="1" x14ac:dyDescent="0.35">
      <c r="A9" s="5">
        <f>'Normalised Goal'!$A9</f>
        <v>7</v>
      </c>
      <c r="B9" s="5" t="str">
        <f>'Normalised Goal'!$B9</f>
        <v>G-8</v>
      </c>
      <c r="C9" s="3" t="str">
        <f>'Normalised Goal'!$C9</f>
        <v>As a PI, I want to plan what kind of data I want to record/store.</v>
      </c>
      <c r="D9" s="3" t="str">
        <f>'Normalised Goal'!$E9</f>
        <v>plan</v>
      </c>
      <c r="E9" s="3" t="s">
        <v>725</v>
      </c>
      <c r="F9" s="3" t="s">
        <v>723</v>
      </c>
      <c r="G9" s="3" t="s">
        <v>725</v>
      </c>
      <c r="H9" s="3" t="str">
        <f t="array" ref="H9">INDEX(_xlfn.UNIQUE($E9:$G9), MODE(MATCH(_xlfn.UNIQUE($E9:$G9), $E9:$G9, 0)))</f>
        <v>u</v>
      </c>
    </row>
    <row r="10" spans="1:15" ht="43.5" customHeight="1" x14ac:dyDescent="0.35">
      <c r="A10" s="5">
        <f>'Normalised Goal'!$A10</f>
        <v>8</v>
      </c>
      <c r="B10" s="5" t="str">
        <f>'Normalised Goal'!$B10</f>
        <v>G-9</v>
      </c>
      <c r="C10" s="3" t="str">
        <f>'Normalised Goal'!$C10</f>
        <v>As an IT staff member, I want to know the security requirements of the data.</v>
      </c>
      <c r="D10" s="3" t="str">
        <f>'Normalised Goal'!$E10</f>
        <v>know</v>
      </c>
      <c r="E10" s="3" t="s">
        <v>724</v>
      </c>
      <c r="F10" s="3" t="s">
        <v>724</v>
      </c>
      <c r="G10" s="3" t="s">
        <v>724</v>
      </c>
      <c r="H10" s="3" t="str">
        <f t="array" ref="H10">INDEX(_xlfn.UNIQUE($E10:$G10), MODE(MATCH(_xlfn.UNIQUE($E10:$G10), $E10:$G10, 0)))</f>
        <v>r</v>
      </c>
    </row>
    <row r="11" spans="1:15" ht="57.75" customHeight="1" x14ac:dyDescent="0.35">
      <c r="A11" s="5">
        <f>'Normalised Goal'!$A11</f>
        <v>9</v>
      </c>
      <c r="B11" s="5" t="str">
        <f>'Normalised Goal'!$B11</f>
        <v>G-10</v>
      </c>
      <c r="C11" s="3" t="str">
        <f>'Normalised Goal'!$C11</f>
        <v>As a data manager, I want to have the description of collected data sets that are used or updated throughout the project lifecycle.</v>
      </c>
      <c r="D11" s="3" t="str">
        <f>'Normalised Goal'!$E11</f>
        <v>have</v>
      </c>
      <c r="E11" s="3" t="s">
        <v>724</v>
      </c>
      <c r="F11" s="3" t="s">
        <v>724</v>
      </c>
      <c r="G11" s="3" t="s">
        <v>724</v>
      </c>
      <c r="H11" s="3" t="str">
        <f t="array" ref="H11">INDEX(_xlfn.UNIQUE($E11:$G11), MODE(MATCH(_xlfn.UNIQUE($E11:$G11), $E11:$G11, 0)))</f>
        <v>r</v>
      </c>
    </row>
    <row r="12" spans="1:15" ht="43.5" customHeight="1" x14ac:dyDescent="0.35">
      <c r="A12" s="5">
        <f>'Normalised Goal'!$A12</f>
        <v>10</v>
      </c>
      <c r="B12" s="5" t="str">
        <f>'Normalised Goal'!$B12</f>
        <v>G-11</v>
      </c>
      <c r="C12" s="3" t="str">
        <f>'Normalised Goal'!$C12</f>
        <v>As a researcher, I want to know which topics are mandatory and similar in all DMPs.</v>
      </c>
      <c r="D12" s="3" t="str">
        <f>'Normalised Goal'!$E12</f>
        <v>know</v>
      </c>
      <c r="E12" s="3" t="s">
        <v>724</v>
      </c>
      <c r="F12" s="3" t="s">
        <v>724</v>
      </c>
      <c r="G12" s="3" t="s">
        <v>724</v>
      </c>
      <c r="H12" s="3" t="str">
        <f t="array" ref="H12">INDEX(_xlfn.UNIQUE($E12:$G12), MODE(MATCH(_xlfn.UNIQUE($E12:$G12), $E12:$G12, 0)))</f>
        <v>r</v>
      </c>
    </row>
    <row r="13" spans="1:15" ht="28.5" customHeight="1" x14ac:dyDescent="0.35">
      <c r="A13" s="5">
        <f>'Normalised Goal'!$A13</f>
        <v>11</v>
      </c>
      <c r="B13" s="5" t="str">
        <f>'Normalised Goal'!$B13</f>
        <v>G-12</v>
      </c>
      <c r="C13" s="3" t="str">
        <f>'Normalised Goal'!$C13</f>
        <v>As a data manager, I want to know what the content of the data is.</v>
      </c>
      <c r="D13" s="3" t="str">
        <f>'Normalised Goal'!$E13</f>
        <v>know</v>
      </c>
      <c r="E13" s="3" t="s">
        <v>724</v>
      </c>
      <c r="F13" s="3" t="s">
        <v>724</v>
      </c>
      <c r="G13" s="3" t="s">
        <v>724</v>
      </c>
      <c r="H13" s="3" t="str">
        <f t="array" ref="H13">INDEX(_xlfn.UNIQUE($E13:$G13), MODE(MATCH(_xlfn.UNIQUE($E13:$G13), $E13:$G13, 0)))</f>
        <v>r</v>
      </c>
    </row>
    <row r="14" spans="1:15" ht="28.5" customHeight="1" x14ac:dyDescent="0.35">
      <c r="A14" s="5">
        <f>'Normalised Goal'!$A14</f>
        <v>12</v>
      </c>
      <c r="B14" s="5" t="str">
        <f>'Normalised Goal'!$B14</f>
        <v>G-13</v>
      </c>
      <c r="C14" s="3" t="str">
        <f>'Normalised Goal'!$C14</f>
        <v>As a PI, I want to record information about my DMP.</v>
      </c>
      <c r="D14" s="3" t="str">
        <f>'Normalised Goal'!$E14</f>
        <v>record</v>
      </c>
      <c r="E14" s="3" t="s">
        <v>723</v>
      </c>
      <c r="F14" s="3" t="s">
        <v>723</v>
      </c>
      <c r="G14" s="3" t="s">
        <v>724</v>
      </c>
      <c r="H14" s="3" t="str">
        <f t="array" ref="H14">INDEX(_xlfn.UNIQUE($E14:$G14), MODE(MATCH(_xlfn.UNIQUE($E14:$G14), $E14:$G14, 0)))</f>
        <v>c</v>
      </c>
    </row>
    <row r="15" spans="1:15" ht="28.5" customHeight="1" x14ac:dyDescent="0.35">
      <c r="A15" s="5">
        <f>'Normalised Goal'!$A15</f>
        <v>13</v>
      </c>
      <c r="B15" s="5" t="str">
        <f>'Normalised Goal'!$B15</f>
        <v>G-14</v>
      </c>
      <c r="C15" s="3" t="str">
        <f>'Normalised Goal'!$C15</f>
        <v>As a legalofficer, I want to know about data sensitivity.</v>
      </c>
      <c r="D15" s="3" t="str">
        <f>'Normalised Goal'!$E15</f>
        <v>know</v>
      </c>
      <c r="E15" s="3" t="s">
        <v>724</v>
      </c>
      <c r="F15" s="3" t="s">
        <v>724</v>
      </c>
      <c r="G15" s="3" t="s">
        <v>724</v>
      </c>
      <c r="H15" s="3" t="str">
        <f t="array" ref="H15">INDEX(_xlfn.UNIQUE($E15:$G15), MODE(MATCH(_xlfn.UNIQUE($E15:$G15), $E15:$G15, 0)))</f>
        <v>r</v>
      </c>
    </row>
    <row r="16" spans="1:15" ht="43.5" customHeight="1" x14ac:dyDescent="0.35">
      <c r="A16" s="5">
        <f>'Normalised Goal'!$A16</f>
        <v>14</v>
      </c>
      <c r="B16" s="5" t="str">
        <f>'Normalised Goal'!$B16</f>
        <v>G-15</v>
      </c>
      <c r="C16" s="3" t="str">
        <f>'Normalised Goal'!$C16</f>
        <v>As a data librarian, I want to extract pointers from the DMP to metadata held in other systems.</v>
      </c>
      <c r="D16" s="3" t="str">
        <f>'Normalised Goal'!$E16</f>
        <v>extract</v>
      </c>
      <c r="E16" s="3" t="s">
        <v>723</v>
      </c>
      <c r="F16" s="3" t="s">
        <v>724</v>
      </c>
      <c r="G16" s="3" t="s">
        <v>724</v>
      </c>
      <c r="H16" s="3" t="str">
        <f t="array" ref="H16">INDEX(_xlfn.UNIQUE($E16:$G16), MODE(MATCH(_xlfn.UNIQUE($E16:$G16), $E16:$G16, 0)))</f>
        <v>r</v>
      </c>
    </row>
    <row r="17" spans="1:8" ht="43.5" customHeight="1" x14ac:dyDescent="0.35">
      <c r="A17" s="5">
        <f>'Normalised Goal'!$A17</f>
        <v>15</v>
      </c>
      <c r="B17" s="5" t="str">
        <f>'Normalised Goal'!$B17</f>
        <v>G-16</v>
      </c>
      <c r="C17" s="3" t="str">
        <f>'Normalised Goal'!$C17</f>
        <v>As an IT staff member, I want to have an estimate of the produced data volume.</v>
      </c>
      <c r="D17" s="3" t="str">
        <f>'Normalised Goal'!$E17</f>
        <v>have</v>
      </c>
      <c r="E17" s="3" t="s">
        <v>723</v>
      </c>
      <c r="F17" s="3" t="s">
        <v>724</v>
      </c>
      <c r="G17" s="3" t="s">
        <v>724</v>
      </c>
      <c r="H17" s="3" t="str">
        <f t="array" ref="H17">INDEX(_xlfn.UNIQUE($E17:$G17), MODE(MATCH(_xlfn.UNIQUE($E17:$G17), $E17:$G17, 0)))</f>
        <v>r</v>
      </c>
    </row>
    <row r="18" spans="1:8" ht="43.5" customHeight="1" x14ac:dyDescent="0.35">
      <c r="A18" s="5">
        <f>'Normalised Goal'!$A18</f>
        <v>16</v>
      </c>
      <c r="B18" s="5" t="str">
        <f>'Normalised Goal'!$B18</f>
        <v>G-17</v>
      </c>
      <c r="C18" s="3" t="str">
        <f>'Normalised Goal'!$C18</f>
        <v>As an administrator, I want to know who funded the project and their requirements.</v>
      </c>
      <c r="D18" s="3" t="str">
        <f>'Normalised Goal'!$E18</f>
        <v>know</v>
      </c>
      <c r="E18" s="3" t="s">
        <v>724</v>
      </c>
      <c r="F18" s="3" t="s">
        <v>724</v>
      </c>
      <c r="G18" s="3" t="s">
        <v>724</v>
      </c>
      <c r="H18" s="3" t="str">
        <f t="array" ref="H18">INDEX(_xlfn.UNIQUE($E18:$G18), MODE(MATCH(_xlfn.UNIQUE($E18:$G18), $E18:$G18, 0)))</f>
        <v>r</v>
      </c>
    </row>
    <row r="19" spans="1:8" ht="28.5" customHeight="1" x14ac:dyDescent="0.35">
      <c r="A19" s="5">
        <f>'Normalised Goal'!$A19</f>
        <v>17</v>
      </c>
      <c r="B19" s="5" t="str">
        <f>'Normalised Goal'!$B19</f>
        <v>G-18</v>
      </c>
      <c r="C19" s="3" t="str">
        <f>'Normalised Goal'!$C19</f>
        <v>As an archivemanager, I want to know the legal status of data.</v>
      </c>
      <c r="D19" s="3" t="str">
        <f>'Normalised Goal'!$E19</f>
        <v>know</v>
      </c>
      <c r="E19" s="3" t="s">
        <v>724</v>
      </c>
      <c r="F19" s="3" t="s">
        <v>724</v>
      </c>
      <c r="G19" s="3" t="s">
        <v>724</v>
      </c>
      <c r="H19" s="3" t="str">
        <f t="array" ref="H19">INDEX(_xlfn.UNIQUE($E19:$G19), MODE(MATCH(_xlfn.UNIQUE($E19:$G19), $E19:$G19, 0)))</f>
        <v>r</v>
      </c>
    </row>
    <row r="20" spans="1:8" ht="43.5" customHeight="1" x14ac:dyDescent="0.35">
      <c r="A20" s="5">
        <f>'Normalised Goal'!$A20</f>
        <v>18</v>
      </c>
      <c r="B20" s="5" t="str">
        <f>'Normalised Goal'!$B20</f>
        <v>G-19</v>
      </c>
      <c r="C20" s="3" t="str">
        <f>'Normalised Goal'!$C20</f>
        <v>As a data manager, I want to know which kind of data types will be produced or collected.</v>
      </c>
      <c r="D20" s="3" t="str">
        <f>'Normalised Goal'!$E20</f>
        <v>know</v>
      </c>
      <c r="E20" s="3" t="s">
        <v>724</v>
      </c>
      <c r="F20" s="3" t="s">
        <v>724</v>
      </c>
      <c r="G20" s="3" t="s">
        <v>724</v>
      </c>
      <c r="H20" s="3" t="str">
        <f t="array" ref="H20">INDEX(_xlfn.UNIQUE($E20:$G20), MODE(MATCH(_xlfn.UNIQUE($E20:$G20), $E20:$G20, 0)))</f>
        <v>r</v>
      </c>
    </row>
    <row r="21" spans="1:8" ht="43.5" customHeight="1" x14ac:dyDescent="0.35">
      <c r="A21" s="5">
        <f>'Normalised Goal'!$A21</f>
        <v>19</v>
      </c>
      <c r="B21" s="5" t="str">
        <f>'Normalised Goal'!$B21</f>
        <v>G-20</v>
      </c>
      <c r="C21" s="3" t="str">
        <f>'Normalised Goal'!$C21</f>
        <v>As an IT staff member, I want to know which kind of data types will be produced or collected.</v>
      </c>
      <c r="D21" s="3" t="str">
        <f>'Normalised Goal'!$E21</f>
        <v>know</v>
      </c>
      <c r="E21" s="3" t="s">
        <v>724</v>
      </c>
      <c r="F21" s="3" t="s">
        <v>724</v>
      </c>
      <c r="G21" s="3" t="s">
        <v>724</v>
      </c>
      <c r="H21" s="3" t="str">
        <f t="array" ref="H21">INDEX(_xlfn.UNIQUE($E21:$G21), MODE(MATCH(_xlfn.UNIQUE($E21:$G21), $E21:$G21, 0)))</f>
        <v>r</v>
      </c>
    </row>
    <row r="22" spans="1:8" ht="43.5" customHeight="1" x14ac:dyDescent="0.35">
      <c r="A22" s="5">
        <f>'Normalised Goal'!$A22</f>
        <v>20</v>
      </c>
      <c r="B22" s="5" t="str">
        <f>'Normalised Goal'!$B22</f>
        <v>G-21</v>
      </c>
      <c r="C22" s="3" t="str">
        <f>'Normalised Goal'!$C22</f>
        <v>As an archivemanager, I want to know in advance the conservation period of data.</v>
      </c>
      <c r="D22" s="3" t="str">
        <f>'Normalised Goal'!$E22</f>
        <v>know in advance</v>
      </c>
      <c r="E22" s="3" t="s">
        <v>724</v>
      </c>
      <c r="F22" s="3" t="s">
        <v>724</v>
      </c>
      <c r="G22" s="3" t="s">
        <v>724</v>
      </c>
      <c r="H22" s="3" t="str">
        <f t="array" ref="H22">INDEX(_xlfn.UNIQUE($E22:$G22), MODE(MATCH(_xlfn.UNIQUE($E22:$G22), $E22:$G22, 0)))</f>
        <v>r</v>
      </c>
    </row>
    <row r="23" spans="1:8" ht="43.5" customHeight="1" x14ac:dyDescent="0.35">
      <c r="A23" s="5">
        <f>'Normalised Goal'!$A23</f>
        <v>21</v>
      </c>
      <c r="B23" s="5" t="str">
        <f>'Normalised Goal'!$B23</f>
        <v>G-22</v>
      </c>
      <c r="C23" s="3" t="str">
        <f>'Normalised Goal'!$C23</f>
        <v>As a data manager, I want to document all rights necessary for managing the data.</v>
      </c>
      <c r="D23" s="3" t="str">
        <f>'Normalised Goal'!$E23</f>
        <v>document</v>
      </c>
      <c r="E23" s="3" t="s">
        <v>724</v>
      </c>
      <c r="F23" s="3" t="s">
        <v>723</v>
      </c>
      <c r="G23" s="3" t="s">
        <v>724</v>
      </c>
      <c r="H23" s="3" t="str">
        <f t="array" ref="H23">INDEX(_xlfn.UNIQUE($E23:$G23), MODE(MATCH(_xlfn.UNIQUE($E23:$G23), $E23:$G23, 0)))</f>
        <v>r</v>
      </c>
    </row>
    <row r="24" spans="1:8" ht="28.5" customHeight="1" x14ac:dyDescent="0.35">
      <c r="A24" s="5">
        <f>'Normalised Goal'!$A24</f>
        <v>22</v>
      </c>
      <c r="B24" s="5" t="str">
        <f>'Normalised Goal'!$B24</f>
        <v>G-23</v>
      </c>
      <c r="C24" s="3" t="str">
        <f>'Normalised Goal'!$C24</f>
        <v>As a data manager, I want to know what the content of the data is.</v>
      </c>
      <c r="D24" s="3" t="str">
        <f>'Normalised Goal'!$E24</f>
        <v>know</v>
      </c>
      <c r="E24" s="3" t="s">
        <v>724</v>
      </c>
      <c r="F24" s="3" t="s">
        <v>724</v>
      </c>
      <c r="G24" s="3" t="s">
        <v>724</v>
      </c>
      <c r="H24" s="3" t="str">
        <f t="array" ref="H24">INDEX(_xlfn.UNIQUE($E24:$G24), MODE(MATCH(_xlfn.UNIQUE($E24:$G24), $E24:$G24, 0)))</f>
        <v>r</v>
      </c>
    </row>
    <row r="25" spans="1:8" ht="57.75" customHeight="1" x14ac:dyDescent="0.35">
      <c r="A25" s="5">
        <f>'Normalised Goal'!$A25</f>
        <v>23</v>
      </c>
      <c r="B25" s="5" t="str">
        <f>'Normalised Goal'!$B25</f>
        <v>G-24</v>
      </c>
      <c r="C25" s="3" t="str">
        <f>'Normalised Goal'!$C25</f>
        <v>As a research head, I want to access to the persistent identifiers of datasets provided in the DMP.</v>
      </c>
      <c r="D25" s="3" t="str">
        <f>'Normalised Goal'!$E25</f>
        <v>access</v>
      </c>
      <c r="E25" s="3" t="s">
        <v>724</v>
      </c>
      <c r="F25" s="3" t="s">
        <v>724</v>
      </c>
      <c r="G25" s="3" t="s">
        <v>724</v>
      </c>
      <c r="H25" s="3" t="str">
        <f t="array" ref="H25">INDEX(_xlfn.UNIQUE($E25:$G25), MODE(MATCH(_xlfn.UNIQUE($E25:$G25), $E25:$G25, 0)))</f>
        <v>r</v>
      </c>
    </row>
    <row r="26" spans="1:8" ht="43.5" customHeight="1" x14ac:dyDescent="0.35">
      <c r="A26" s="5">
        <f>'Normalised Goal'!$A26</f>
        <v>24</v>
      </c>
      <c r="B26" s="5" t="str">
        <f>'Normalised Goal'!$B26</f>
        <v>G-25</v>
      </c>
      <c r="C26" s="3" t="str">
        <f>'Normalised Goal'!$C26</f>
        <v>As a funder, I want to be able to read the costs for data management from the DMP.</v>
      </c>
      <c r="D26" s="3" t="str">
        <f>'Normalised Goal'!$E26</f>
        <v>read</v>
      </c>
      <c r="E26" s="3" t="s">
        <v>724</v>
      </c>
      <c r="F26" s="3" t="s">
        <v>724</v>
      </c>
      <c r="G26" s="3" t="s">
        <v>724</v>
      </c>
      <c r="H26" s="3" t="str">
        <f t="array" ref="H26">INDEX(_xlfn.UNIQUE($E26:$G26), MODE(MATCH(_xlfn.UNIQUE($E26:$G26), $E26:$G26, 0)))</f>
        <v>r</v>
      </c>
    </row>
    <row r="27" spans="1:8" ht="57.75" customHeight="1" x14ac:dyDescent="0.35">
      <c r="A27" s="5">
        <f>'Normalised Goal'!$A27</f>
        <v>25</v>
      </c>
      <c r="B27" s="5" t="str">
        <f>'Normalised Goal'!$B27</f>
        <v>G-26</v>
      </c>
      <c r="C27" s="3" t="str">
        <f>'Normalised Goal'!$C27</f>
        <v>As a researcher, I want the DMP to prepopulate information that I have already entered in other institutional systems.</v>
      </c>
      <c r="D27" s="3" t="str">
        <f>'Normalised Goal'!$E27</f>
        <v>want</v>
      </c>
      <c r="E27" s="3" t="s">
        <v>723</v>
      </c>
      <c r="F27" s="3" t="s">
        <v>724</v>
      </c>
      <c r="G27" s="3" t="s">
        <v>724</v>
      </c>
      <c r="H27" s="3" t="str">
        <f t="array" ref="H27">INDEX(_xlfn.UNIQUE($E27:$G27), MODE(MATCH(_xlfn.UNIQUE($E27:$G27), $E27:$G27, 0)))</f>
        <v>r</v>
      </c>
    </row>
    <row r="28" spans="1:8" ht="43.5" customHeight="1" x14ac:dyDescent="0.35">
      <c r="A28" s="5">
        <f>'Normalised Goal'!$A28</f>
        <v>26</v>
      </c>
      <c r="B28" s="5" t="str">
        <f>'Normalised Goal'!$B28</f>
        <v>G-27</v>
      </c>
      <c r="C28" s="3" t="str">
        <f>'Normalised Goal'!$C28</f>
        <v>As a stakeholder, I want to know when the data management plan was created or updated.</v>
      </c>
      <c r="D28" s="3" t="str">
        <f>'Normalised Goal'!$E28</f>
        <v>know</v>
      </c>
      <c r="E28" s="3" t="s">
        <v>724</v>
      </c>
      <c r="F28" s="3" t="s">
        <v>724</v>
      </c>
      <c r="G28" s="3" t="s">
        <v>724</v>
      </c>
      <c r="H28" s="3" t="str">
        <f t="array" ref="H28">INDEX(_xlfn.UNIQUE($E28:$G28), MODE(MATCH(_xlfn.UNIQUE($E28:$G28), $E28:$G28, 0)))</f>
        <v>r</v>
      </c>
    </row>
    <row r="29" spans="1:8" ht="28.5" customHeight="1" x14ac:dyDescent="0.35">
      <c r="A29" s="5">
        <f>'Normalised Goal'!$A29</f>
        <v>27</v>
      </c>
      <c r="B29" s="5" t="str">
        <f>'Normalised Goal'!$B29</f>
        <v>G-28</v>
      </c>
      <c r="C29" s="3" t="str">
        <f>'Normalised Goal'!$C29</f>
        <v>As a stakeholder, I want to know who is responsible for the DMP.</v>
      </c>
      <c r="D29" s="3" t="str">
        <f>'Normalised Goal'!$E29</f>
        <v>know</v>
      </c>
      <c r="E29" s="3" t="s">
        <v>724</v>
      </c>
      <c r="F29" s="3" t="s">
        <v>724</v>
      </c>
      <c r="G29" s="3" t="s">
        <v>724</v>
      </c>
      <c r="H29" s="3" t="str">
        <f t="array" ref="H29">INDEX(_xlfn.UNIQUE($E29:$G29), MODE(MATCH(_xlfn.UNIQUE($E29:$G29), $E29:$G29, 0)))</f>
        <v>r</v>
      </c>
    </row>
    <row r="30" spans="1:8" ht="43.5" customHeight="1" x14ac:dyDescent="0.35">
      <c r="A30" s="5">
        <f>'Normalised Goal'!$A30</f>
        <v>28</v>
      </c>
      <c r="B30" s="5" t="str">
        <f>'Normalised Goal'!$B30</f>
        <v>G-29</v>
      </c>
      <c r="C30" s="3" t="str">
        <f>'Normalised Goal'!$C30</f>
        <v>As a stakeholder, I want to have references to the project proposal.</v>
      </c>
      <c r="D30" s="3" t="str">
        <f>'Normalised Goal'!$E30</f>
        <v>have</v>
      </c>
      <c r="E30" s="3" t="s">
        <v>723</v>
      </c>
      <c r="F30" s="3" t="s">
        <v>724</v>
      </c>
      <c r="G30" s="3" t="s">
        <v>723</v>
      </c>
      <c r="H30" s="3" t="str">
        <f t="array" ref="H30">INDEX(_xlfn.UNIQUE($E30:$G30), MODE(MATCH(_xlfn.UNIQUE($E30:$G30), $E30:$G30, 0)))</f>
        <v>c</v>
      </c>
    </row>
    <row r="31" spans="1:8" ht="43.5" customHeight="1" x14ac:dyDescent="0.35">
      <c r="A31" s="5">
        <f>'Normalised Goal'!$A31</f>
        <v>29</v>
      </c>
      <c r="B31" s="5" t="str">
        <f>'Normalised Goal'!$B31</f>
        <v>G-30</v>
      </c>
      <c r="C31" s="3" t="str">
        <f>'Normalised Goal'!$C31</f>
        <v>As a metadata manager, I want to have a short description of project.</v>
      </c>
      <c r="D31" s="3" t="str">
        <f>'Normalised Goal'!$E31</f>
        <v>have</v>
      </c>
      <c r="E31" s="3" t="s">
        <v>723</v>
      </c>
      <c r="F31" s="3" t="s">
        <v>724</v>
      </c>
      <c r="G31" s="3" t="s">
        <v>723</v>
      </c>
      <c r="H31" s="3" t="str">
        <f t="array" ref="H31">INDEX(_xlfn.UNIQUE($E31:$G31), MODE(MATCH(_xlfn.UNIQUE($E31:$G31), $E31:$G31, 0)))</f>
        <v>c</v>
      </c>
    </row>
    <row r="32" spans="1:8" ht="28.5" customHeight="1" x14ac:dyDescent="0.35">
      <c r="A32" s="5">
        <f>'Normalised Goal'!$A32</f>
        <v>30</v>
      </c>
      <c r="B32" s="5" t="str">
        <f>'Normalised Goal'!$B32</f>
        <v>G-31</v>
      </c>
      <c r="C32" s="3" t="str">
        <f>'Normalised Goal'!$C32</f>
        <v>As a rector, I want to know how many data will be stored.</v>
      </c>
      <c r="D32" s="3" t="str">
        <f>'Normalised Goal'!$E32</f>
        <v>know</v>
      </c>
      <c r="E32" s="3" t="s">
        <v>724</v>
      </c>
      <c r="F32" s="3" t="s">
        <v>724</v>
      </c>
      <c r="G32" s="3" t="s">
        <v>724</v>
      </c>
      <c r="H32" s="3" t="str">
        <f t="array" ref="H32">INDEX(_xlfn.UNIQUE($E32:$G32), MODE(MATCH(_xlfn.UNIQUE($E32:$G32), $E32:$G32, 0)))</f>
        <v>r</v>
      </c>
    </row>
    <row r="33" spans="1:8" ht="28.5" customHeight="1" x14ac:dyDescent="0.35">
      <c r="A33" s="5">
        <f>'Normalised Goal'!$A33</f>
        <v>31</v>
      </c>
      <c r="B33" s="5" t="str">
        <f>'Normalised Goal'!$B33</f>
        <v>G-32</v>
      </c>
      <c r="C33" s="3" t="str">
        <f>'Normalised Goal'!$C33</f>
        <v>As a data manager, I want to know the time plan for collecting data.</v>
      </c>
      <c r="D33" s="3" t="str">
        <f>'Normalised Goal'!$E33</f>
        <v>know</v>
      </c>
      <c r="E33" s="3" t="s">
        <v>724</v>
      </c>
      <c r="F33" s="3" t="s">
        <v>724</v>
      </c>
      <c r="G33" s="3" t="s">
        <v>724</v>
      </c>
      <c r="H33" s="3" t="str">
        <f t="array" ref="H33">INDEX(_xlfn.UNIQUE($E33:$G33), MODE(MATCH(_xlfn.UNIQUE($E33:$G33), $E33:$G33, 0)))</f>
        <v>r</v>
      </c>
    </row>
    <row r="34" spans="1:8" ht="43.5" customHeight="1" x14ac:dyDescent="0.35">
      <c r="A34" s="5">
        <f>'Normalised Goal'!$A34</f>
        <v>32</v>
      </c>
      <c r="B34" s="5" t="str">
        <f>'Normalised Goal'!$B34</f>
        <v>G-33</v>
      </c>
      <c r="C34" s="3" t="str">
        <f>'Normalised Goal'!$C34</f>
        <v>As a data librarian, I want to import administrative information regarding a project into DMP.</v>
      </c>
      <c r="D34" s="3" t="str">
        <f>'Normalised Goal'!$E34</f>
        <v>import</v>
      </c>
      <c r="E34" s="3" t="s">
        <v>723</v>
      </c>
      <c r="F34" s="3" t="s">
        <v>723</v>
      </c>
      <c r="G34" s="3" t="s">
        <v>723</v>
      </c>
      <c r="H34" s="3" t="str">
        <f t="array" ref="H34">INDEX(_xlfn.UNIQUE($E34:$G34), MODE(MATCH(_xlfn.UNIQUE($E34:$G34), $E34:$G34, 0)))</f>
        <v>c</v>
      </c>
    </row>
    <row r="35" spans="1:8" ht="43.5" customHeight="1" x14ac:dyDescent="0.35">
      <c r="A35" s="5">
        <f>'Normalised Goal'!$A35</f>
        <v>33</v>
      </c>
      <c r="B35" s="5" t="str">
        <f>'Normalised Goal'!$B35</f>
        <v>G-34</v>
      </c>
      <c r="C35" s="3" t="str">
        <f>'Normalised Goal'!$C35</f>
        <v>As a manager, I want to know about all resources used for the data.</v>
      </c>
      <c r="D35" s="3" t="str">
        <f>'Normalised Goal'!$E35</f>
        <v>know</v>
      </c>
      <c r="E35" s="3" t="s">
        <v>724</v>
      </c>
      <c r="F35" s="3" t="s">
        <v>724</v>
      </c>
      <c r="G35" s="3" t="s">
        <v>724</v>
      </c>
      <c r="H35" s="3" t="str">
        <f t="array" ref="H35">INDEX(_xlfn.UNIQUE($E35:$G35), MODE(MATCH(_xlfn.UNIQUE($E35:$G35), $E35:$G35, 0)))</f>
        <v>r</v>
      </c>
    </row>
    <row r="36" spans="1:8" ht="43.5" customHeight="1" x14ac:dyDescent="0.35">
      <c r="A36" s="5">
        <f>'Normalised Goal'!$A36</f>
        <v>33</v>
      </c>
      <c r="B36" s="5" t="str">
        <f>'Normalised Goal'!$B36</f>
        <v>G-35</v>
      </c>
      <c r="C36" s="3" t="str">
        <f>'Normalised Goal'!$C36</f>
        <v>As a manager, I want to know about all services used for the data.</v>
      </c>
      <c r="D36" s="3" t="str">
        <f>'Normalised Goal'!$E36</f>
        <v>know</v>
      </c>
      <c r="E36" s="3" t="s">
        <v>724</v>
      </c>
      <c r="F36" s="3" t="s">
        <v>724</v>
      </c>
      <c r="G36" s="3" t="s">
        <v>724</v>
      </c>
      <c r="H36" s="3" t="str">
        <f t="array" ref="H36">INDEX(_xlfn.UNIQUE($E36:$G36), MODE(MATCH(_xlfn.UNIQUE($E36:$G36), $E36:$G36, 0)))</f>
        <v>r</v>
      </c>
    </row>
    <row r="37" spans="1:8" ht="43.5" customHeight="1" x14ac:dyDescent="0.35">
      <c r="A37" s="5">
        <f>'Normalised Goal'!$A37</f>
        <v>34</v>
      </c>
      <c r="B37" s="5" t="str">
        <f>'Normalised Goal'!$B37</f>
        <v>G-36</v>
      </c>
      <c r="C37" s="3" t="str">
        <f>'Normalised Goal'!$C37</f>
        <v>As an archivemanager, I want to reuse the information regarding file format.</v>
      </c>
      <c r="D37" s="3" t="str">
        <f>'Normalised Goal'!$E37</f>
        <v>reuse</v>
      </c>
      <c r="E37" s="3" t="s">
        <v>724</v>
      </c>
      <c r="F37" s="3" t="s">
        <v>723</v>
      </c>
      <c r="G37" s="3" t="s">
        <v>724</v>
      </c>
      <c r="H37" s="3" t="str">
        <f t="array" ref="H37">INDEX(_xlfn.UNIQUE($E37:$G37), MODE(MATCH(_xlfn.UNIQUE($E37:$G37), $E37:$G37, 0)))</f>
        <v>r</v>
      </c>
    </row>
    <row r="38" spans="1:8" ht="43.5" customHeight="1" x14ac:dyDescent="0.35">
      <c r="A38" s="5">
        <f>'Normalised Goal'!$A38</f>
        <v>35</v>
      </c>
      <c r="B38" s="5" t="str">
        <f>'Normalised Goal'!$B38</f>
        <v>G-37</v>
      </c>
      <c r="C38" s="3" t="str">
        <f>'Normalised Goal'!$C38</f>
        <v>As a researcher, I want to know how many resources are needed during the project.</v>
      </c>
      <c r="D38" s="3" t="str">
        <f>'Normalised Goal'!$E38</f>
        <v>know</v>
      </c>
      <c r="E38" s="3" t="s">
        <v>724</v>
      </c>
      <c r="F38" s="3" t="s">
        <v>724</v>
      </c>
      <c r="G38" s="3" t="s">
        <v>724</v>
      </c>
      <c r="H38" s="3" t="str">
        <f t="array" ref="H38">INDEX(_xlfn.UNIQUE($E38:$G38), MODE(MATCH(_xlfn.UNIQUE($E38:$G38), $E38:$G38, 0)))</f>
        <v>r</v>
      </c>
    </row>
    <row r="39" spans="1:8" ht="43.5" customHeight="1" x14ac:dyDescent="0.35">
      <c r="A39" s="5">
        <f>'Normalised Goal'!$A39</f>
        <v>36</v>
      </c>
      <c r="B39" s="5" t="str">
        <f>'Normalised Goal'!$B39</f>
        <v>G-38</v>
      </c>
      <c r="C39" s="3" t="str">
        <f>'Normalised Goal'!$C39</f>
        <v>As a researcher, I want to extract the description of the data collected.</v>
      </c>
      <c r="D39" s="3" t="str">
        <f>'Normalised Goal'!$E39</f>
        <v>extract</v>
      </c>
      <c r="E39" s="3" t="s">
        <v>723</v>
      </c>
      <c r="F39" s="3" t="s">
        <v>724</v>
      </c>
      <c r="G39" s="3" t="s">
        <v>724</v>
      </c>
      <c r="H39" s="3" t="str">
        <f t="array" ref="H39">INDEX(_xlfn.UNIQUE($E39:$G39), MODE(MATCH(_xlfn.UNIQUE($E39:$G39), $E39:$G39, 0)))</f>
        <v>r</v>
      </c>
    </row>
    <row r="40" spans="1:8" ht="57.75" customHeight="1" x14ac:dyDescent="0.35">
      <c r="A40" s="5">
        <f>'Normalised Goal'!$A40</f>
        <v>37</v>
      </c>
      <c r="B40" s="5" t="str">
        <f>'Normalised Goal'!$B40</f>
        <v>G-39</v>
      </c>
      <c r="C40" s="3" t="str">
        <f>'Normalised Goal'!$C40</f>
        <v>As a researcher, I want to record research publications in the institutional repository or CRIS with DMP records.</v>
      </c>
      <c r="D40" s="3" t="str">
        <f>'Normalised Goal'!$E40</f>
        <v>record</v>
      </c>
      <c r="E40" s="3" t="s">
        <v>723</v>
      </c>
      <c r="F40" s="3" t="s">
        <v>723</v>
      </c>
      <c r="G40" s="3" t="s">
        <v>723</v>
      </c>
      <c r="H40" s="3" t="str">
        <f t="array" ref="H40">INDEX(_xlfn.UNIQUE($E40:$G40), MODE(MATCH(_xlfn.UNIQUE($E40:$G40), $E40:$G40, 0)))</f>
        <v>c</v>
      </c>
    </row>
    <row r="41" spans="1:8" ht="57.75" customHeight="1" x14ac:dyDescent="0.35">
      <c r="A41" s="5">
        <f>'Normalised Goal'!$A41</f>
        <v>38</v>
      </c>
      <c r="B41" s="5" t="str">
        <f>'Normalised Goal'!$B41</f>
        <v>G-40</v>
      </c>
      <c r="C41" s="3" t="str">
        <f>'Normalised Goal'!$C41</f>
        <v>As a researcher, I want to link research publications in the institutional repository or CRIS with DMP records.</v>
      </c>
      <c r="D41" s="3" t="str">
        <f>'Normalised Goal'!$E41</f>
        <v>link</v>
      </c>
      <c r="E41" s="3" t="s">
        <v>723</v>
      </c>
      <c r="F41" s="3" t="s">
        <v>723</v>
      </c>
      <c r="G41" s="3" t="s">
        <v>723</v>
      </c>
      <c r="H41" s="3" t="str">
        <f t="array" ref="H41">INDEX(_xlfn.UNIQUE($E41:$G41), MODE(MATCH(_xlfn.UNIQUE($E41:$G41), $E41:$G41, 0)))</f>
        <v>c</v>
      </c>
    </row>
    <row r="42" spans="1:8" ht="43.5" customHeight="1" x14ac:dyDescent="0.35">
      <c r="A42" s="5">
        <f>'Normalised Goal'!$A42</f>
        <v>39</v>
      </c>
      <c r="B42" s="5" t="str">
        <f>'Normalised Goal'!$B42</f>
        <v>G-41</v>
      </c>
      <c r="C42" s="3" t="str">
        <f>'Normalised Goal'!$C42</f>
        <v>As a researcher, I want to store agreements relating to third party data used in a project.</v>
      </c>
      <c r="D42" s="3" t="str">
        <f>'Normalised Goal'!$E42</f>
        <v>store</v>
      </c>
      <c r="E42" s="3" t="s">
        <v>723</v>
      </c>
      <c r="F42" s="3" t="s">
        <v>723</v>
      </c>
      <c r="G42" s="3" t="s">
        <v>723</v>
      </c>
      <c r="H42" s="3" t="str">
        <f t="array" ref="H42">INDEX(_xlfn.UNIQUE($E42:$G42), MODE(MATCH(_xlfn.UNIQUE($E42:$G42), $E42:$G42, 0)))</f>
        <v>c</v>
      </c>
    </row>
    <row r="43" spans="1:8" ht="28.5" customHeight="1" x14ac:dyDescent="0.35">
      <c r="A43" s="5">
        <f>'Normalised Goal'!$A43</f>
        <v>40</v>
      </c>
      <c r="B43" s="5" t="str">
        <f>'Normalised Goal'!$B43</f>
        <v>G-42</v>
      </c>
      <c r="C43" s="3" t="str">
        <f>'Normalised Goal'!$C43</f>
        <v>As an ethics manager, I want to be informed about the data.</v>
      </c>
      <c r="D43" s="3" t="str">
        <f>'Normalised Goal'!$E43</f>
        <v>be inform</v>
      </c>
      <c r="E43" s="3" t="s">
        <v>724</v>
      </c>
      <c r="F43" s="3" t="s">
        <v>724</v>
      </c>
      <c r="G43" s="3" t="s">
        <v>725</v>
      </c>
      <c r="H43" s="3" t="str">
        <f t="array" ref="H43">INDEX(_xlfn.UNIQUE($E43:$G43), MODE(MATCH(_xlfn.UNIQUE($E43:$G43), $E43:$G43, 0)))</f>
        <v>r</v>
      </c>
    </row>
    <row r="44" spans="1:8" ht="28.5" customHeight="1" x14ac:dyDescent="0.35">
      <c r="A44" s="5">
        <f>'Normalised Goal'!$A44</f>
        <v>41</v>
      </c>
      <c r="B44" s="5" t="str">
        <f>'Normalised Goal'!$B44</f>
        <v>G-43</v>
      </c>
      <c r="C44" s="3" t="str">
        <f>'Normalised Goal'!$C44</f>
        <v>As a repository operator, I want to know about the kind of data.</v>
      </c>
      <c r="D44" s="3" t="str">
        <f>'Normalised Goal'!$E44</f>
        <v>know</v>
      </c>
      <c r="E44" s="3" t="s">
        <v>724</v>
      </c>
      <c r="F44" s="3" t="s">
        <v>724</v>
      </c>
      <c r="G44" s="3" t="s">
        <v>724</v>
      </c>
      <c r="H44" s="3" t="str">
        <f t="array" ref="H44">INDEX(_xlfn.UNIQUE($E44:$G44), MODE(MATCH(_xlfn.UNIQUE($E44:$G44), $E44:$G44, 0)))</f>
        <v>r</v>
      </c>
    </row>
    <row r="45" spans="1:8" ht="28.5" customHeight="1" x14ac:dyDescent="0.35">
      <c r="A45" s="5">
        <f>'Normalised Goal'!$A45</f>
        <v>42</v>
      </c>
      <c r="B45" s="5" t="str">
        <f>'Normalised Goal'!$B45</f>
        <v>G-44</v>
      </c>
      <c r="C45" s="3" t="str">
        <f>'Normalised Goal'!$C45</f>
        <v>As a researcher, I want to know about costs.</v>
      </c>
      <c r="D45" s="3" t="str">
        <f>'Normalised Goal'!$E45</f>
        <v>know</v>
      </c>
      <c r="E45" s="3" t="s">
        <v>724</v>
      </c>
      <c r="F45" s="3" t="s">
        <v>724</v>
      </c>
      <c r="G45" s="3" t="s">
        <v>724</v>
      </c>
      <c r="H45" s="3" t="str">
        <f t="array" ref="H45">INDEX(_xlfn.UNIQUE($E45:$G45), MODE(MATCH(_xlfn.UNIQUE($E45:$G45), $E45:$G45, 0)))</f>
        <v>r</v>
      </c>
    </row>
    <row r="46" spans="1:8" ht="28.5" customHeight="1" x14ac:dyDescent="0.35">
      <c r="A46" s="5">
        <f>'Normalised Goal'!$A46</f>
        <v>43</v>
      </c>
      <c r="B46" s="5" t="str">
        <f>'Normalised Goal'!$B46</f>
        <v>G-45</v>
      </c>
      <c r="C46" s="3" t="str">
        <f>'Normalised Goal'!$C46</f>
        <v>As a repository manager, I need details on the type of data.</v>
      </c>
      <c r="D46" s="3" t="str">
        <f>'Normalised Goal'!$E46</f>
        <v>need</v>
      </c>
      <c r="E46" s="3" t="s">
        <v>723</v>
      </c>
      <c r="F46" s="3" t="s">
        <v>724</v>
      </c>
      <c r="G46" s="3" t="s">
        <v>724</v>
      </c>
      <c r="H46" s="3" t="str">
        <f t="array" ref="H46">INDEX(_xlfn.UNIQUE($E46:$G46), MODE(MATCH(_xlfn.UNIQUE($E46:$G46), $E46:$G46, 0)))</f>
        <v>r</v>
      </c>
    </row>
    <row r="47" spans="1:8" ht="28.5" customHeight="1" x14ac:dyDescent="0.35">
      <c r="A47" s="5">
        <f>'Normalised Goal'!$A47</f>
        <v>44</v>
      </c>
      <c r="B47" s="5" t="str">
        <f>'Normalised Goal'!$B47</f>
        <v>G-46</v>
      </c>
      <c r="C47" s="3" t="str">
        <f>'Normalised Goal'!$C47</f>
        <v>As an IT officer, I want to know how secure data is.</v>
      </c>
      <c r="D47" s="3" t="str">
        <f>'Normalised Goal'!$E47</f>
        <v>know</v>
      </c>
      <c r="E47" s="3" t="s">
        <v>724</v>
      </c>
      <c r="F47" s="3" t="s">
        <v>724</v>
      </c>
      <c r="G47" s="3" t="s">
        <v>724</v>
      </c>
      <c r="H47" s="3" t="str">
        <f t="array" ref="H47">INDEX(_xlfn.UNIQUE($E47:$G47), MODE(MATCH(_xlfn.UNIQUE($E47:$G47), $E47:$G47, 0)))</f>
        <v>r</v>
      </c>
    </row>
    <row r="48" spans="1:8" ht="28.5" customHeight="1" x14ac:dyDescent="0.35">
      <c r="A48" s="5">
        <f>'Normalised Goal'!$A48</f>
        <v>45</v>
      </c>
      <c r="B48" s="5" t="str">
        <f>'Normalised Goal'!$B48</f>
        <v>G-47</v>
      </c>
      <c r="C48" s="3" t="str">
        <f>'Normalised Goal'!$C48</f>
        <v>As a funder, I want to know how secure data is.</v>
      </c>
      <c r="D48" s="3" t="str">
        <f>'Normalised Goal'!$E48</f>
        <v>know</v>
      </c>
      <c r="E48" s="3" t="s">
        <v>724</v>
      </c>
      <c r="F48" s="3" t="s">
        <v>724</v>
      </c>
      <c r="G48" s="3" t="s">
        <v>724</v>
      </c>
      <c r="H48" s="3" t="str">
        <f t="array" ref="H48">INDEX(_xlfn.UNIQUE($E48:$G48), MODE(MATCH(_xlfn.UNIQUE($E48:$G48), $E48:$G48, 0)))</f>
        <v>r</v>
      </c>
    </row>
    <row r="49" spans="1:8" ht="43.5" customHeight="1" x14ac:dyDescent="0.35">
      <c r="A49" s="5">
        <f>'Normalised Goal'!$A49</f>
        <v>46</v>
      </c>
      <c r="B49" s="5" t="str">
        <f>'Normalised Goal'!$B49</f>
        <v>G-48</v>
      </c>
      <c r="C49" s="3" t="str">
        <f>'Normalised Goal'!$C49</f>
        <v>As a Research Centre Director, I want to receive regular summary reports of research data.</v>
      </c>
      <c r="D49" s="3" t="str">
        <f>'Normalised Goal'!$E49</f>
        <v>receive</v>
      </c>
      <c r="E49" s="3" t="s">
        <v>723</v>
      </c>
      <c r="F49" s="3" t="s">
        <v>724</v>
      </c>
      <c r="G49" s="3" t="s">
        <v>724</v>
      </c>
      <c r="H49" s="3" t="str">
        <f t="array" ref="H49">INDEX(_xlfn.UNIQUE($E49:$G49), MODE(MATCH(_xlfn.UNIQUE($E49:$G49), $E49:$G49, 0)))</f>
        <v>r</v>
      </c>
    </row>
    <row r="50" spans="1:8" ht="43.5" customHeight="1" x14ac:dyDescent="0.35">
      <c r="A50" s="5">
        <f>'Normalised Goal'!$A50</f>
        <v>47</v>
      </c>
      <c r="B50" s="5" t="str">
        <f>'Normalised Goal'!$B50</f>
        <v>G-49</v>
      </c>
      <c r="C50" s="3" t="str">
        <f>'Normalised Goal'!$C50</f>
        <v>As a Postgraduate Convenor, I want to receive regular summary reports of research data.</v>
      </c>
      <c r="D50" s="3" t="str">
        <f>'Normalised Goal'!$E50</f>
        <v>receive</v>
      </c>
      <c r="E50" s="3" t="s">
        <v>723</v>
      </c>
      <c r="F50" s="3" t="s">
        <v>724</v>
      </c>
      <c r="G50" s="3" t="s">
        <v>724</v>
      </c>
      <c r="H50" s="3" t="str">
        <f t="array" ref="H50">INDEX(_xlfn.UNIQUE($E50:$G50), MODE(MATCH(_xlfn.UNIQUE($E50:$G50), $E50:$G50, 0)))</f>
        <v>r</v>
      </c>
    </row>
    <row r="51" spans="1:8" ht="43.5" customHeight="1" x14ac:dyDescent="0.35">
      <c r="A51" s="5">
        <f>'Normalised Goal'!$A51</f>
        <v>49</v>
      </c>
      <c r="B51" s="5" t="str">
        <f>'Normalised Goal'!$B51</f>
        <v>G-50</v>
      </c>
      <c r="C51" s="3" t="str">
        <f>'Normalised Goal'!$C51</f>
        <v>As a funder, I want to be able to check all the repositories mentioned in a DMP.</v>
      </c>
      <c r="D51" s="3" t="str">
        <f>'Normalised Goal'!$E51</f>
        <v>check</v>
      </c>
      <c r="E51" s="3" t="s">
        <v>724</v>
      </c>
      <c r="F51" s="3" t="s">
        <v>724</v>
      </c>
      <c r="G51" s="3" t="s">
        <v>724</v>
      </c>
      <c r="H51" s="3" t="str">
        <f t="array" ref="H51">INDEX(_xlfn.UNIQUE($E51:$G51), MODE(MATCH(_xlfn.UNIQUE($E51:$G51), $E51:$G51, 0)))</f>
        <v>r</v>
      </c>
    </row>
    <row r="52" spans="1:8" ht="28.5" customHeight="1" x14ac:dyDescent="0.35">
      <c r="A52" s="5">
        <f>'Normalised Goal'!$A52</f>
        <v>50</v>
      </c>
      <c r="B52" s="5" t="str">
        <f>'Normalised Goal'!$B52</f>
        <v>G-51</v>
      </c>
      <c r="C52" s="3" t="str">
        <f>'Normalised Goal'!$C52</f>
        <v>As a PI, I want to plan what kind of data I want to store.</v>
      </c>
      <c r="D52" s="3" t="str">
        <f>'Normalised Goal'!$E52</f>
        <v>plan</v>
      </c>
      <c r="E52" s="3" t="s">
        <v>725</v>
      </c>
      <c r="F52" s="3" t="s">
        <v>725</v>
      </c>
      <c r="G52" s="3" t="s">
        <v>723</v>
      </c>
      <c r="H52" s="3" t="str">
        <f t="array" ref="H52">INDEX(_xlfn.UNIQUE($E52:$G52), MODE(MATCH(_xlfn.UNIQUE($E52:$G52), $E52:$G52, 0)))</f>
        <v>u</v>
      </c>
    </row>
    <row r="53" spans="1:8" ht="28.5" customHeight="1" x14ac:dyDescent="0.35">
      <c r="A53" s="5">
        <f>'Normalised Goal'!$A53</f>
        <v>51</v>
      </c>
      <c r="B53" s="5" t="str">
        <f>'Normalised Goal'!$B53</f>
        <v>G-52</v>
      </c>
      <c r="C53" s="3" t="str">
        <f>'Normalised Goal'!$C53</f>
        <v>As a PI, I want to know how secure data is.</v>
      </c>
      <c r="D53" s="3" t="str">
        <f>'Normalised Goal'!$E53</f>
        <v>know</v>
      </c>
      <c r="E53" s="3" t="s">
        <v>724</v>
      </c>
      <c r="F53" s="3" t="s">
        <v>724</v>
      </c>
      <c r="G53" s="3" t="s">
        <v>724</v>
      </c>
      <c r="H53" s="3" t="str">
        <f t="array" ref="H53">INDEX(_xlfn.UNIQUE($E53:$G53), MODE(MATCH(_xlfn.UNIQUE($E53:$G53), $E53:$G53, 0)))</f>
        <v>r</v>
      </c>
    </row>
    <row r="54" spans="1:8" ht="87" customHeight="1" x14ac:dyDescent="0.35">
      <c r="A54" s="5">
        <f>'Normalised Goal'!$A54</f>
        <v>52</v>
      </c>
      <c r="B54" s="5" t="str">
        <f>'Normalised Goal'!$B54</f>
        <v>G-53</v>
      </c>
      <c r="C54" s="3" t="str">
        <f>'Normalised Goal'!$C54</f>
        <v>As a Director of Research Integrity, I want to access reports containing details of research projects in which data are classified as sensitive or highly sensitive.</v>
      </c>
      <c r="D54" s="3" t="str">
        <f>'Normalised Goal'!$E54</f>
        <v>access</v>
      </c>
      <c r="E54" s="3" t="s">
        <v>724</v>
      </c>
      <c r="F54" s="3" t="s">
        <v>724</v>
      </c>
      <c r="G54" s="3" t="s">
        <v>724</v>
      </c>
      <c r="H54" s="3" t="str">
        <f t="array" ref="H54">INDEX(_xlfn.UNIQUE($E54:$G54), MODE(MATCH(_xlfn.UNIQUE($E54:$G54), $E54:$G54, 0)))</f>
        <v>r</v>
      </c>
    </row>
    <row r="55" spans="1:8" ht="43.5" customHeight="1" x14ac:dyDescent="0.35">
      <c r="A55" s="5">
        <f>'Normalised Goal'!$A55</f>
        <v>53</v>
      </c>
      <c r="B55" s="5" t="str">
        <f>'Normalised Goal'!$B55</f>
        <v>G-54</v>
      </c>
      <c r="C55" s="3" t="str">
        <f>'Normalised Goal'!$C55</f>
        <v>As an archive, I want to get information about the volume of data to preserve at an early stage.</v>
      </c>
      <c r="D55" s="3" t="str">
        <f>'Normalised Goal'!$E55</f>
        <v>get</v>
      </c>
      <c r="E55" s="3" t="s">
        <v>723</v>
      </c>
      <c r="F55" s="3" t="s">
        <v>724</v>
      </c>
      <c r="G55" s="3" t="s">
        <v>724</v>
      </c>
      <c r="H55" s="3" t="str">
        <f t="array" ref="H55">INDEX(_xlfn.UNIQUE($E55:$G55), MODE(MATCH(_xlfn.UNIQUE($E55:$G55), $E55:$G55, 0)))</f>
        <v>r</v>
      </c>
    </row>
    <row r="56" spans="1:8" ht="28.5" customHeight="1" x14ac:dyDescent="0.35">
      <c r="A56" s="5">
        <f>'Normalised Goal'!$A56</f>
        <v>54</v>
      </c>
      <c r="B56" s="5" t="str">
        <f>'Normalised Goal'!$B56</f>
        <v>G-55</v>
      </c>
      <c r="C56" s="3" t="str">
        <f>'Normalised Goal'!$C56</f>
        <v>As a researcher, I want to know how long it will take to archive.</v>
      </c>
      <c r="D56" s="3" t="str">
        <f>'Normalised Goal'!$E56</f>
        <v>know</v>
      </c>
      <c r="E56" s="3" t="s">
        <v>724</v>
      </c>
      <c r="F56" s="3" t="s">
        <v>724</v>
      </c>
      <c r="G56" s="3" t="s">
        <v>724</v>
      </c>
      <c r="H56" s="3" t="str">
        <f t="array" ref="H56">INDEX(_xlfn.UNIQUE($E56:$G56), MODE(MATCH(_xlfn.UNIQUE($E56:$G56), $E56:$G56, 0)))</f>
        <v>r</v>
      </c>
    </row>
    <row r="57" spans="1:8" ht="28.5" customHeight="1" x14ac:dyDescent="0.35">
      <c r="A57" s="5">
        <f>'Normalised Goal'!$A57</f>
        <v>55</v>
      </c>
      <c r="B57" s="5" t="str">
        <f>'Normalised Goal'!$B57</f>
        <v>G-56</v>
      </c>
      <c r="C57" s="3" t="str">
        <f>'Normalised Goal'!$C57</f>
        <v>As a PI, I want to know who owns the data.</v>
      </c>
      <c r="D57" s="3" t="str">
        <f>'Normalised Goal'!$E57</f>
        <v>know</v>
      </c>
      <c r="E57" s="3" t="s">
        <v>724</v>
      </c>
      <c r="F57" s="3" t="s">
        <v>724</v>
      </c>
      <c r="G57" s="3" t="s">
        <v>724</v>
      </c>
      <c r="H57" s="3" t="str">
        <f t="array" ref="H57">INDEX(_xlfn.UNIQUE($E57:$G57), MODE(MATCH(_xlfn.UNIQUE($E57:$G57), $E57:$G57, 0)))</f>
        <v>r</v>
      </c>
    </row>
    <row r="58" spans="1:8" ht="43.5" customHeight="1" x14ac:dyDescent="0.35">
      <c r="A58" s="5">
        <f>'Normalised Goal'!$A58</f>
        <v>56</v>
      </c>
      <c r="B58" s="5" t="str">
        <f>'Normalised Goal'!$B58</f>
        <v>G-57</v>
      </c>
      <c r="C58" s="3" t="str">
        <f>'Normalised Goal'!$C58</f>
        <v>As a data manager, I want to have references to documentation of the data.</v>
      </c>
      <c r="D58" s="3" t="str">
        <f>'Normalised Goal'!$E58</f>
        <v>have</v>
      </c>
      <c r="E58" s="3" t="s">
        <v>723</v>
      </c>
      <c r="F58" s="3" t="s">
        <v>723</v>
      </c>
      <c r="G58" s="3" t="s">
        <v>724</v>
      </c>
      <c r="H58" s="3" t="str">
        <f t="array" ref="H58">INDEX(_xlfn.UNIQUE($E58:$G58), MODE(MATCH(_xlfn.UNIQUE($E58:$G58), $E58:$G58, 0)))</f>
        <v>c</v>
      </c>
    </row>
    <row r="59" spans="1:8" ht="43.5" customHeight="1" x14ac:dyDescent="0.35">
      <c r="A59" s="5">
        <f>'Normalised Goal'!$A59</f>
        <v>56</v>
      </c>
      <c r="B59" s="5" t="str">
        <f>'Normalised Goal'!$B59</f>
        <v>G-58</v>
      </c>
      <c r="C59" s="3" t="str">
        <f>'Normalised Goal'!$C59</f>
        <v>As a data manager, I want to have references to the data creation process.</v>
      </c>
      <c r="D59" s="3" t="str">
        <f>'Normalised Goal'!$E59</f>
        <v>have</v>
      </c>
      <c r="E59" s="3" t="s">
        <v>723</v>
      </c>
      <c r="F59" s="3" t="s">
        <v>723</v>
      </c>
      <c r="G59" s="3" t="s">
        <v>724</v>
      </c>
      <c r="H59" s="3" t="str">
        <f t="array" ref="H59">INDEX(_xlfn.UNIQUE($E59:$G59), MODE(MATCH(_xlfn.UNIQUE($E59:$G59), $E59:$G59, 0)))</f>
        <v>c</v>
      </c>
    </row>
    <row r="60" spans="1:8" ht="43.5" customHeight="1" x14ac:dyDescent="0.35">
      <c r="A60" s="5">
        <f>'Normalised Goal'!$A60</f>
        <v>58</v>
      </c>
      <c r="B60" s="5" t="str">
        <f>'Normalised Goal'!$B60</f>
        <v>G-59</v>
      </c>
      <c r="C60" s="3" t="str">
        <f>'Normalised Goal'!$C60</f>
        <v>As a data manager, I want to know which kind of data types will be produced or collected.</v>
      </c>
      <c r="D60" s="3" t="str">
        <f>'Normalised Goal'!$E60</f>
        <v>know</v>
      </c>
      <c r="E60" s="3" t="s">
        <v>724</v>
      </c>
      <c r="F60" s="3" t="s">
        <v>724</v>
      </c>
      <c r="G60" s="3" t="s">
        <v>724</v>
      </c>
      <c r="H60" s="3" t="str">
        <f t="array" ref="H60">INDEX(_xlfn.UNIQUE($E60:$G60), MODE(MATCH(_xlfn.UNIQUE($E60:$G60), $E60:$G60, 0)))</f>
        <v>r</v>
      </c>
    </row>
    <row r="61" spans="1:8" ht="43.5" customHeight="1" x14ac:dyDescent="0.35">
      <c r="A61" s="5">
        <f>'Normalised Goal'!$A61</f>
        <v>59</v>
      </c>
      <c r="B61" s="5" t="str">
        <f>'Normalised Goal'!$B61</f>
        <v>G-60</v>
      </c>
      <c r="C61" s="3" t="str">
        <f>'Normalised Goal'!$C61</f>
        <v>As an IT staff member, I want to know which kind of data types will be produced or collected.</v>
      </c>
      <c r="D61" s="3" t="str">
        <f>'Normalised Goal'!$E61</f>
        <v>know</v>
      </c>
      <c r="E61" s="3" t="s">
        <v>724</v>
      </c>
      <c r="F61" s="3" t="s">
        <v>724</v>
      </c>
      <c r="G61" s="3" t="s">
        <v>724</v>
      </c>
      <c r="H61" s="3" t="str">
        <f t="array" ref="H61">INDEX(_xlfn.UNIQUE($E61:$G61), MODE(MATCH(_xlfn.UNIQUE($E61:$G61), $E61:$G61, 0)))</f>
        <v>r</v>
      </c>
    </row>
    <row r="62" spans="1:8" ht="28.5" customHeight="1" x14ac:dyDescent="0.35">
      <c r="A62" s="5">
        <f>'Normalised Goal'!$A62</f>
        <v>60</v>
      </c>
      <c r="B62" s="5" t="str">
        <f>'Normalised Goal'!$B62</f>
        <v>G-61</v>
      </c>
      <c r="C62" s="3" t="str">
        <f>'Normalised Goal'!$C62</f>
        <v>As an IT staff member, I want to know how the data is used.</v>
      </c>
      <c r="D62" s="3" t="str">
        <f>'Normalised Goal'!$E62</f>
        <v>know</v>
      </c>
      <c r="E62" s="3" t="s">
        <v>724</v>
      </c>
      <c r="F62" s="3" t="s">
        <v>724</v>
      </c>
      <c r="G62" s="3" t="s">
        <v>724</v>
      </c>
      <c r="H62" s="3" t="str">
        <f t="array" ref="H62">INDEX(_xlfn.UNIQUE($E62:$G62), MODE(MATCH(_xlfn.UNIQUE($E62:$G62), $E62:$G62, 0)))</f>
        <v>r</v>
      </c>
    </row>
    <row r="63" spans="1:8" ht="28.5" customHeight="1" x14ac:dyDescent="0.35">
      <c r="A63" s="5">
        <f>'Normalised Goal'!$A63</f>
        <v>62</v>
      </c>
      <c r="B63" s="5" t="str">
        <f>'Normalised Goal'!$B63</f>
        <v>G-62</v>
      </c>
      <c r="C63" s="3" t="str">
        <f>'Normalised Goal'!$C63</f>
        <v>As an IT staff member, I want to know which formats are used.</v>
      </c>
      <c r="D63" s="3" t="str">
        <f>'Normalised Goal'!$E63</f>
        <v>know</v>
      </c>
      <c r="E63" s="3" t="s">
        <v>724</v>
      </c>
      <c r="F63" s="3" t="s">
        <v>724</v>
      </c>
      <c r="G63" s="3" t="s">
        <v>724</v>
      </c>
      <c r="H63" s="3" t="str">
        <f t="array" ref="H63">INDEX(_xlfn.UNIQUE($E63:$G63), MODE(MATCH(_xlfn.UNIQUE($E63:$G63), $E63:$G63, 0)))</f>
        <v>r</v>
      </c>
    </row>
    <row r="64" spans="1:8" ht="43.5" customHeight="1" x14ac:dyDescent="0.35">
      <c r="A64" s="5">
        <f>'Normalised Goal'!$A64</f>
        <v>63</v>
      </c>
      <c r="B64" s="5" t="str">
        <f>'Normalised Goal'!$B64</f>
        <v>G-63</v>
      </c>
      <c r="C64" s="3" t="str">
        <f>'Normalised Goal'!$C64</f>
        <v>As an IT staff member, I want to know with which software is produced or used.</v>
      </c>
      <c r="D64" s="3" t="str">
        <f>'Normalised Goal'!$E64</f>
        <v>know</v>
      </c>
      <c r="E64" s="3" t="s">
        <v>724</v>
      </c>
      <c r="F64" s="3" t="s">
        <v>724</v>
      </c>
      <c r="G64" s="3" t="s">
        <v>724</v>
      </c>
      <c r="H64" s="3" t="str">
        <f t="array" ref="H64">INDEX(_xlfn.UNIQUE($E64:$G64), MODE(MATCH(_xlfn.UNIQUE($E64:$G64), $E64:$G64, 0)))</f>
        <v>r</v>
      </c>
    </row>
    <row r="65" spans="1:8" ht="43.5" customHeight="1" x14ac:dyDescent="0.35">
      <c r="A65" s="5">
        <f>'Normalised Goal'!$A65</f>
        <v>63</v>
      </c>
      <c r="B65" s="5" t="str">
        <f>'Normalised Goal'!$B65</f>
        <v>G-64</v>
      </c>
      <c r="C65" s="3" t="str">
        <f>'Normalised Goal'!$C65</f>
        <v>As an IT staff member, I want to know with which technology the data is produced or used.</v>
      </c>
      <c r="D65" s="3" t="str">
        <f>'Normalised Goal'!$E65</f>
        <v>know</v>
      </c>
      <c r="E65" s="3" t="s">
        <v>724</v>
      </c>
      <c r="F65" s="3" t="s">
        <v>724</v>
      </c>
      <c r="G65" s="3" t="s">
        <v>724</v>
      </c>
      <c r="H65" s="3" t="str">
        <f t="array" ref="H65">INDEX(_xlfn.UNIQUE($E65:$G65), MODE(MATCH(_xlfn.UNIQUE($E65:$G65), $E65:$G65, 0)))</f>
        <v>r</v>
      </c>
    </row>
    <row r="66" spans="1:8" ht="43.5" customHeight="1" x14ac:dyDescent="0.35">
      <c r="A66" s="5">
        <f>'Normalised Goal'!$A66</f>
        <v>64</v>
      </c>
      <c r="B66" s="5" t="str">
        <f>'Normalised Goal'!$B66</f>
        <v>G-65</v>
      </c>
      <c r="C66" s="3" t="str">
        <f>'Normalised Goal'!$C66</f>
        <v>As a data manager, I want to know which information is necessary to re-use the data.</v>
      </c>
      <c r="D66" s="3" t="str">
        <f>'Normalised Goal'!$E66</f>
        <v>know</v>
      </c>
      <c r="E66" s="3" t="s">
        <v>724</v>
      </c>
      <c r="F66" s="3" t="s">
        <v>724</v>
      </c>
      <c r="G66" s="3" t="s">
        <v>724</v>
      </c>
      <c r="H66" s="3" t="str">
        <f t="array" ref="H66">INDEX(_xlfn.UNIQUE($E66:$G66), MODE(MATCH(_xlfn.UNIQUE($E66:$G66), $E66:$G66, 0)))</f>
        <v>r</v>
      </c>
    </row>
    <row r="67" spans="1:8" ht="28.5" customHeight="1" x14ac:dyDescent="0.35">
      <c r="A67" s="5">
        <f>'Normalised Goal'!$A67</f>
        <v>65</v>
      </c>
      <c r="B67" s="5" t="str">
        <f>'Normalised Goal'!$B67</f>
        <v>G-66</v>
      </c>
      <c r="C67" s="3" t="str">
        <f>'Normalised Goal'!$C67</f>
        <v>As a data manager, I want to know which formats are used.</v>
      </c>
      <c r="D67" s="3" t="str">
        <f>'Normalised Goal'!$E67</f>
        <v>know</v>
      </c>
      <c r="E67" s="3" t="s">
        <v>724</v>
      </c>
      <c r="F67" s="3" t="s">
        <v>724</v>
      </c>
      <c r="G67" s="3" t="s">
        <v>724</v>
      </c>
      <c r="H67" s="3" t="str">
        <f t="array" ref="H67">INDEX(_xlfn.UNIQUE($E67:$G67), MODE(MATCH(_xlfn.UNIQUE($E67:$G67), $E67:$G67, 0)))</f>
        <v>r</v>
      </c>
    </row>
    <row r="68" spans="1:8" ht="28.5" customHeight="1" x14ac:dyDescent="0.35">
      <c r="A68" s="5">
        <f>'Normalised Goal'!$A68</f>
        <v>67</v>
      </c>
      <c r="B68" s="5" t="str">
        <f>'Normalised Goal'!$B68</f>
        <v>G-67</v>
      </c>
      <c r="C68" s="3" t="str">
        <f>'Normalised Goal'!$C68</f>
        <v>As a data manager, I want to know with which software is used.</v>
      </c>
      <c r="D68" s="3" t="str">
        <f>'Normalised Goal'!$E68</f>
        <v>know</v>
      </c>
      <c r="E68" s="3" t="s">
        <v>724</v>
      </c>
      <c r="F68" s="3" t="s">
        <v>724</v>
      </c>
      <c r="G68" s="3" t="s">
        <v>724</v>
      </c>
      <c r="H68" s="3" t="str">
        <f t="array" ref="H68">INDEX(_xlfn.UNIQUE($E68:$G68), MODE(MATCH(_xlfn.UNIQUE($E68:$G68), $E68:$G68, 0)))</f>
        <v>r</v>
      </c>
    </row>
    <row r="69" spans="1:8" ht="43.5" customHeight="1" x14ac:dyDescent="0.35">
      <c r="A69" s="5">
        <f>'Normalised Goal'!$A69</f>
        <v>67</v>
      </c>
      <c r="B69" s="5" t="str">
        <f>'Normalised Goal'!$B69</f>
        <v>G-68</v>
      </c>
      <c r="C69" s="3" t="str">
        <f>'Normalised Goal'!$C69</f>
        <v>As a data manager, I want to know with which technology the data is used.</v>
      </c>
      <c r="D69" s="3" t="str">
        <f>'Normalised Goal'!$E69</f>
        <v>know</v>
      </c>
      <c r="E69" s="3" t="s">
        <v>724</v>
      </c>
      <c r="F69" s="3" t="s">
        <v>724</v>
      </c>
      <c r="G69" s="3" t="s">
        <v>724</v>
      </c>
      <c r="H69" s="3" t="str">
        <f t="array" ref="H69">INDEX(_xlfn.UNIQUE($E69:$G69), MODE(MATCH(_xlfn.UNIQUE($E69:$G69), $E69:$G69, 0)))</f>
        <v>r</v>
      </c>
    </row>
    <row r="70" spans="1:8" ht="43.5" customHeight="1" x14ac:dyDescent="0.35">
      <c r="A70" s="5">
        <f>'Normalised Goal'!$A70</f>
        <v>67</v>
      </c>
      <c r="B70" s="5" t="str">
        <f>'Normalised Goal'!$B70</f>
        <v>G-69</v>
      </c>
      <c r="C70" s="3" t="str">
        <f>'Normalised Goal'!$C70</f>
        <v>As a data manager, I want to know with which software the data is produced.</v>
      </c>
      <c r="D70" s="3" t="str">
        <f>'Normalised Goal'!$E70</f>
        <v>know</v>
      </c>
      <c r="E70" s="3" t="s">
        <v>724</v>
      </c>
      <c r="F70" s="3" t="s">
        <v>724</v>
      </c>
      <c r="G70" s="3" t="s">
        <v>724</v>
      </c>
      <c r="H70" s="3" t="str">
        <f t="array" ref="H70">INDEX(_xlfn.UNIQUE($E70:$G70), MODE(MATCH(_xlfn.UNIQUE($E70:$G70), $E70:$G70, 0)))</f>
        <v>r</v>
      </c>
    </row>
    <row r="71" spans="1:8" ht="43.5" customHeight="1" x14ac:dyDescent="0.35">
      <c r="A71" s="5">
        <f>'Normalised Goal'!$A71</f>
        <v>69</v>
      </c>
      <c r="B71" s="5" t="str">
        <f>'Normalised Goal'!$B71</f>
        <v>G-70</v>
      </c>
      <c r="C71" s="3" t="str">
        <f>'Normalised Goal'!$C71</f>
        <v>As an administrator, I want to check that all data has the appropriate security level.</v>
      </c>
      <c r="D71" s="3" t="str">
        <f>'Normalised Goal'!$E71</f>
        <v>check</v>
      </c>
      <c r="E71" s="3" t="s">
        <v>724</v>
      </c>
      <c r="F71" s="3" t="s">
        <v>724</v>
      </c>
      <c r="G71" s="3" t="s">
        <v>724</v>
      </c>
      <c r="H71" s="3" t="str">
        <f t="array" ref="H71">INDEX(_xlfn.UNIQUE($E71:$G71), MODE(MATCH(_xlfn.UNIQUE($E71:$G71), $E71:$G71, 0)))</f>
        <v>r</v>
      </c>
    </row>
    <row r="72" spans="1:8" ht="43.5" customHeight="1" x14ac:dyDescent="0.35">
      <c r="A72" s="5">
        <f>'Normalised Goal'!$A72</f>
        <v>70</v>
      </c>
      <c r="B72" s="5" t="str">
        <f>'Normalised Goal'!$B72</f>
        <v>G-71</v>
      </c>
      <c r="C72" s="3" t="str">
        <f>'Normalised Goal'!$C72</f>
        <v>As a data manager, I want to know the security requirements of the data.</v>
      </c>
      <c r="D72" s="3" t="str">
        <f>'Normalised Goal'!$E72</f>
        <v>know</v>
      </c>
      <c r="E72" s="3" t="s">
        <v>724</v>
      </c>
      <c r="F72" s="3" t="s">
        <v>724</v>
      </c>
      <c r="G72" s="3" t="s">
        <v>724</v>
      </c>
      <c r="H72" s="3" t="str">
        <f t="array" ref="H72">INDEX(_xlfn.UNIQUE($E72:$G72), MODE(MATCH(_xlfn.UNIQUE($E72:$G72), $E72:$G72, 0)))</f>
        <v>r</v>
      </c>
    </row>
    <row r="73" spans="1:8" ht="57.75" customHeight="1" x14ac:dyDescent="0.35">
      <c r="A73" s="5">
        <f>'Normalised Goal'!$A73</f>
        <v>71</v>
      </c>
      <c r="B73" s="5" t="str">
        <f>'Normalised Goal'!$B73</f>
        <v>G-72</v>
      </c>
      <c r="C73" s="3" t="str">
        <f>'Normalised Goal'!$C73</f>
        <v>As a institutional data steward, I want to be able to extract the data sets that are submitted to external repositories.</v>
      </c>
      <c r="D73" s="3" t="str">
        <f>'Normalised Goal'!$E73</f>
        <v>extract</v>
      </c>
      <c r="E73" s="3" t="s">
        <v>723</v>
      </c>
      <c r="F73" s="3" t="s">
        <v>724</v>
      </c>
      <c r="G73" s="3" t="s">
        <v>724</v>
      </c>
      <c r="H73" s="3" t="str">
        <f t="array" ref="H73">INDEX(_xlfn.UNIQUE($E73:$G73), MODE(MATCH(_xlfn.UNIQUE($E73:$G73), $E73:$G73, 0)))</f>
        <v>r</v>
      </c>
    </row>
    <row r="74" spans="1:8" ht="43.5" customHeight="1" x14ac:dyDescent="0.35">
      <c r="A74" s="5">
        <f>'Normalised Goal'!$A74</f>
        <v>72</v>
      </c>
      <c r="B74" s="5" t="str">
        <f>'Normalised Goal'!$B74</f>
        <v>G-73</v>
      </c>
      <c r="C74" s="3" t="str">
        <f>'Normalised Goal'!$C74</f>
        <v>As an institutional data manager, I want to know about the privacy of the data.</v>
      </c>
      <c r="D74" s="3" t="str">
        <f>'Normalised Goal'!$E74</f>
        <v>know</v>
      </c>
      <c r="E74" s="3" t="s">
        <v>724</v>
      </c>
      <c r="F74" s="3" t="s">
        <v>724</v>
      </c>
      <c r="G74" s="3" t="s">
        <v>724</v>
      </c>
      <c r="H74" s="3" t="str">
        <f t="array" ref="H74">INDEX(_xlfn.UNIQUE($E74:$G74), MODE(MATCH(_xlfn.UNIQUE($E74:$G74), $E74:$G74, 0)))</f>
        <v>r</v>
      </c>
    </row>
    <row r="75" spans="1:8" ht="43.5" customHeight="1" x14ac:dyDescent="0.35">
      <c r="A75" s="5">
        <f>'Normalised Goal'!$A75</f>
        <v>72</v>
      </c>
      <c r="B75" s="5" t="str">
        <f>'Normalised Goal'!$B75</f>
        <v>G-74</v>
      </c>
      <c r="C75" s="3" t="str">
        <f>'Normalised Goal'!$C75</f>
        <v>As an institutional data manager, I want to know about the security requirements of the data.</v>
      </c>
      <c r="D75" s="3" t="str">
        <f>'Normalised Goal'!$E75</f>
        <v>know</v>
      </c>
      <c r="E75" s="3" t="s">
        <v>724</v>
      </c>
      <c r="F75" s="3" t="s">
        <v>724</v>
      </c>
      <c r="G75" s="3" t="s">
        <v>724</v>
      </c>
      <c r="H75" s="3" t="str">
        <f t="array" ref="H75">INDEX(_xlfn.UNIQUE($E75:$G75), MODE(MATCH(_xlfn.UNIQUE($E75:$G75), $E75:$G75, 0)))</f>
        <v>r</v>
      </c>
    </row>
    <row r="76" spans="1:8" ht="43.5" customHeight="1" x14ac:dyDescent="0.35">
      <c r="A76" s="5">
        <f>'Normalised Goal'!$A76</f>
        <v>73</v>
      </c>
      <c r="B76" s="5" t="str">
        <f>'Normalised Goal'!$B76</f>
        <v>G-75</v>
      </c>
      <c r="C76" s="3" t="str">
        <f>'Normalised Goal'!$C76</f>
        <v>As a researcher, I want to see the sections on costing by other researchers in my department.</v>
      </c>
      <c r="D76" s="3" t="str">
        <f>'Normalised Goal'!$E76</f>
        <v>see</v>
      </c>
      <c r="E76" s="3" t="s">
        <v>724</v>
      </c>
      <c r="F76" s="3" t="s">
        <v>724</v>
      </c>
      <c r="G76" s="3" t="s">
        <v>724</v>
      </c>
      <c r="H76" s="3" t="str">
        <f t="array" ref="H76">INDEX(_xlfn.UNIQUE($E76:$G76), MODE(MATCH(_xlfn.UNIQUE($E76:$G76), $E76:$G76, 0)))</f>
        <v>r</v>
      </c>
    </row>
    <row r="77" spans="1:8" ht="57.75" customHeight="1" x14ac:dyDescent="0.35">
      <c r="A77" s="5">
        <f>'Normalised Goal'!$A77</f>
        <v>74</v>
      </c>
      <c r="B77" s="5" t="str">
        <f>'Normalised Goal'!$B77</f>
        <v>G-76</v>
      </c>
      <c r="C77" s="3" t="str">
        <f>'Normalised Goal'!$C77</f>
        <v>As a researcher, I want to see the sections on roles submitted by other researchers in my department.</v>
      </c>
      <c r="D77" s="3" t="str">
        <f>'Normalised Goal'!$E77</f>
        <v>see</v>
      </c>
      <c r="E77" s="3" t="s">
        <v>724</v>
      </c>
      <c r="F77" s="3" t="s">
        <v>724</v>
      </c>
      <c r="G77" s="3" t="s">
        <v>724</v>
      </c>
      <c r="H77" s="3" t="str">
        <f t="array" ref="H77">INDEX(_xlfn.UNIQUE($E77:$G77), MODE(MATCH(_xlfn.UNIQUE($E77:$G77), $E77:$G77, 0)))</f>
        <v>r</v>
      </c>
    </row>
    <row r="78" spans="1:8" ht="57.75" customHeight="1" x14ac:dyDescent="0.35">
      <c r="A78" s="5">
        <f>'Normalised Goal'!$A78</f>
        <v>75</v>
      </c>
      <c r="B78" s="5" t="str">
        <f>'Normalised Goal'!$B78</f>
        <v>G-77</v>
      </c>
      <c r="C78" s="3" t="str">
        <f>'Normalised Goal'!$C78</f>
        <v>As a researcher, I want to see the sections on responsibilities submitted by other researchers in my department.</v>
      </c>
      <c r="D78" s="3" t="str">
        <f>'Normalised Goal'!$E78</f>
        <v>see</v>
      </c>
      <c r="E78" s="3" t="s">
        <v>724</v>
      </c>
      <c r="F78" s="3" t="s">
        <v>724</v>
      </c>
      <c r="G78" s="3" t="s">
        <v>724</v>
      </c>
      <c r="H78" s="3" t="str">
        <f t="array" ref="H78">INDEX(_xlfn.UNIQUE($E78:$G78), MODE(MATCH(_xlfn.UNIQUE($E78:$G78), $E78:$G78, 0)))</f>
        <v>r</v>
      </c>
    </row>
    <row r="79" spans="1:8" ht="28.5" customHeight="1" x14ac:dyDescent="0.35">
      <c r="A79" s="5">
        <f>'Normalised Goal'!$A79</f>
        <v>76</v>
      </c>
      <c r="B79" s="5" t="str">
        <f>'Normalised Goal'!$B79</f>
        <v>G-78</v>
      </c>
      <c r="C79" s="3" t="str">
        <f>'Normalised Goal'!$C79</f>
        <v>As a faculty data steward, I want to see the sections on costing.</v>
      </c>
      <c r="D79" s="3" t="str">
        <f>'Normalised Goal'!$E79</f>
        <v>see</v>
      </c>
      <c r="E79" s="3" t="s">
        <v>724</v>
      </c>
      <c r="F79" s="3" t="s">
        <v>724</v>
      </c>
      <c r="G79" s="3" t="s">
        <v>724</v>
      </c>
      <c r="H79" s="3" t="str">
        <f t="array" ref="H79">INDEX(_xlfn.UNIQUE($E79:$G79), MODE(MATCH(_xlfn.UNIQUE($E79:$G79), $E79:$G79, 0)))</f>
        <v>r</v>
      </c>
    </row>
    <row r="80" spans="1:8" ht="28.5" customHeight="1" x14ac:dyDescent="0.35">
      <c r="A80" s="5">
        <f>'Normalised Goal'!$A80</f>
        <v>77</v>
      </c>
      <c r="B80" s="5" t="str">
        <f>'Normalised Goal'!$B80</f>
        <v>G-79</v>
      </c>
      <c r="C80" s="3" t="str">
        <f>'Normalised Goal'!$C80</f>
        <v>As a faculty data steward, I want to see the sections on roles.</v>
      </c>
      <c r="D80" s="3" t="str">
        <f>'Normalised Goal'!$E80</f>
        <v>see</v>
      </c>
      <c r="E80" s="3" t="s">
        <v>724</v>
      </c>
      <c r="F80" s="3" t="s">
        <v>724</v>
      </c>
      <c r="G80" s="3" t="s">
        <v>724</v>
      </c>
      <c r="H80" s="3" t="str">
        <f t="array" ref="H80">INDEX(_xlfn.UNIQUE($E80:$G80), MODE(MATCH(_xlfn.UNIQUE($E80:$G80), $E80:$G80, 0)))</f>
        <v>r</v>
      </c>
    </row>
    <row r="81" spans="1:8" ht="43.5" customHeight="1" x14ac:dyDescent="0.35">
      <c r="A81" s="5">
        <f>'Normalised Goal'!$A81</f>
        <v>78</v>
      </c>
      <c r="B81" s="5" t="str">
        <f>'Normalised Goal'!$B81</f>
        <v>G-80</v>
      </c>
      <c r="C81" s="3" t="str">
        <f>'Normalised Goal'!$C81</f>
        <v>As a faculty data steward, I want to see the sections on responsibilities.</v>
      </c>
      <c r="D81" s="3" t="str">
        <f>'Normalised Goal'!$E81</f>
        <v>see</v>
      </c>
      <c r="E81" s="3" t="s">
        <v>724</v>
      </c>
      <c r="F81" s="3" t="s">
        <v>724</v>
      </c>
      <c r="G81" s="3" t="s">
        <v>724</v>
      </c>
      <c r="H81" s="3" t="str">
        <f t="array" ref="H81">INDEX(_xlfn.UNIQUE($E81:$G81), MODE(MATCH(_xlfn.UNIQUE($E81:$G81), $E81:$G81, 0)))</f>
        <v>r</v>
      </c>
    </row>
    <row r="82" spans="1:8" ht="43.5" customHeight="1" x14ac:dyDescent="0.35">
      <c r="A82" s="5">
        <f>'Normalised Goal'!$A82</f>
        <v>79</v>
      </c>
      <c r="B82" s="5" t="str">
        <f>'Normalised Goal'!$B82</f>
        <v>G-81</v>
      </c>
      <c r="C82" s="3" t="str">
        <f>'Normalised Goal'!$C82</f>
        <v>As a data manager, I want to clarify the necessary rights for re-using the data.</v>
      </c>
      <c r="D82" s="3" t="str">
        <f>'Normalised Goal'!$E82</f>
        <v>clarify</v>
      </c>
      <c r="E82" s="3" t="s">
        <v>725</v>
      </c>
      <c r="F82" s="3" t="s">
        <v>725</v>
      </c>
      <c r="G82" s="3" t="s">
        <v>724</v>
      </c>
      <c r="H82" s="3" t="str">
        <f t="array" ref="H82">INDEX(_xlfn.UNIQUE($E82:$G82), MODE(MATCH(_xlfn.UNIQUE($E82:$G82), $E82:$G82, 0)))</f>
        <v>u</v>
      </c>
    </row>
    <row r="83" spans="1:8" ht="57.75" customHeight="1" x14ac:dyDescent="0.35">
      <c r="A83" s="5">
        <f>'Normalised Goal'!$A83</f>
        <v>80</v>
      </c>
      <c r="B83" s="5" t="str">
        <f>'Normalised Goal'!$B83</f>
        <v>G-82</v>
      </c>
      <c r="C83" s="3" t="str">
        <f>'Normalised Goal'!$C83</f>
        <v>As a researcher, I want to record my intention to share data I have collected under terms of a particular licence.</v>
      </c>
      <c r="D83" s="3" t="str">
        <f>'Normalised Goal'!$E83</f>
        <v>record</v>
      </c>
      <c r="E83" s="3" t="s">
        <v>723</v>
      </c>
      <c r="F83" s="3" t="s">
        <v>723</v>
      </c>
      <c r="G83" s="3" t="s">
        <v>724</v>
      </c>
      <c r="H83" s="3" t="str">
        <f t="array" ref="H83">INDEX(_xlfn.UNIQUE($E83:$G83), MODE(MATCH(_xlfn.UNIQUE($E83:$G83), $E83:$G83, 0)))</f>
        <v>c</v>
      </c>
    </row>
    <row r="84" spans="1:8" ht="28.5" customHeight="1" x14ac:dyDescent="0.35">
      <c r="A84" s="5">
        <f>'Normalised Goal'!$A84</f>
        <v>81</v>
      </c>
      <c r="B84" s="5" t="str">
        <f>'Normalised Goal'!$B84</f>
        <v>G-83</v>
      </c>
      <c r="C84" s="3" t="str">
        <f>'Normalised Goal'!$C84</f>
        <v>As a data manager, I want to plan the anonymization of data.</v>
      </c>
      <c r="D84" s="3" t="str">
        <f>'Normalised Goal'!$E84</f>
        <v>plan</v>
      </c>
      <c r="E84" s="3" t="s">
        <v>725</v>
      </c>
      <c r="F84" s="3" t="s">
        <v>723</v>
      </c>
      <c r="G84" s="3" t="s">
        <v>725</v>
      </c>
      <c r="H84" s="3" t="str">
        <f t="array" ref="H84">INDEX(_xlfn.UNIQUE($E84:$G84), MODE(MATCH(_xlfn.UNIQUE($E84:$G84), $E84:$G84, 0)))</f>
        <v>u</v>
      </c>
    </row>
    <row r="85" spans="1:8" ht="43.5" customHeight="1" x14ac:dyDescent="0.35">
      <c r="A85" s="5">
        <f>'Normalised Goal'!$A85</f>
        <v>82</v>
      </c>
      <c r="B85" s="5" t="str">
        <f>'Normalised Goal'!$B85</f>
        <v>G-84</v>
      </c>
      <c r="C85" s="3" t="str">
        <f>'Normalised Goal'!$C85</f>
        <v>As a repository manager, I want to have metadata in additional languages.</v>
      </c>
      <c r="D85" s="3" t="str">
        <f>'Normalised Goal'!$E85</f>
        <v>have</v>
      </c>
      <c r="E85" s="3" t="s">
        <v>723</v>
      </c>
      <c r="F85" s="3" t="s">
        <v>724</v>
      </c>
      <c r="G85" s="3" t="s">
        <v>724</v>
      </c>
      <c r="H85" s="3" t="str">
        <f t="array" ref="H85">INDEX(_xlfn.UNIQUE($E85:$G85), MODE(MATCH(_xlfn.UNIQUE($E85:$G85), $E85:$G85, 0)))</f>
        <v>r</v>
      </c>
    </row>
    <row r="86" spans="1:8" ht="14.5" x14ac:dyDescent="0.35">
      <c r="A86" s="5"/>
    </row>
  </sheetData>
  <autoFilter ref="A1:H85" xr:uid="{00000000-0001-0000-0400-000000000000}"/>
  <mergeCells count="1">
    <mergeCell ref="M1:O1"/>
  </mergeCells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485E01-CCC3-46EE-9E95-7595E0CF28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Original Dataset</vt:lpstr>
      <vt:lpstr>Normalised</vt:lpstr>
      <vt:lpstr>Normalised Goal</vt:lpstr>
      <vt:lpstr>CRUD-MAPPING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Lukas Sebastian Hofmann</dc:creator>
  <dc:description/>
  <cp:lastModifiedBy>Lukas Sebastian Hofmann</cp:lastModifiedBy>
  <cp:revision>1</cp:revision>
  <dcterms:created xsi:type="dcterms:W3CDTF">2025-11-11T11:50:23Z</dcterms:created>
  <dcterms:modified xsi:type="dcterms:W3CDTF">2026-05-18T14:55:16Z</dcterms:modified>
  <dc:language>de-DE</dc:language>
</cp:coreProperties>
</file>