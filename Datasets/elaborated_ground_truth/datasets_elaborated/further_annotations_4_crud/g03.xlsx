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fmann\Documents\GitHub\2026_RE_Dependency_Artefacts\Datasets\elaborated_ground_truth\datasets_elaborated\others\"/>
    </mc:Choice>
  </mc:AlternateContent>
  <xr:revisionPtr revIDLastSave="0" documentId="13_ncr:1_{7C271B24-068A-4D91-94F2-6013F470966F}" xr6:coauthVersionLast="47" xr6:coauthVersionMax="47" xr10:uidLastSave="{00000000-0000-0000-0000-000000000000}"/>
  <bookViews>
    <workbookView xWindow="-28920" yWindow="14145" windowWidth="29040" windowHeight="17520" activeTab="4" xr2:uid="{00000000-000D-0000-FFFF-FFFF00000000}"/>
  </bookViews>
  <sheets>
    <sheet name="Info" sheetId="1" r:id="rId1"/>
    <sheet name="Original Dataset" sheetId="2" r:id="rId2"/>
    <sheet name="Normalised" sheetId="3" r:id="rId3"/>
    <sheet name="Normalised Goal" sheetId="4" r:id="rId4"/>
    <sheet name="CRUD-MAPPING" sheetId="5" r:id="rId5"/>
  </sheets>
  <definedNames>
    <definedName name="_xlnm._FilterDatabase" localSheetId="4" hidden="1">'CRUD-MAPPING'!$A$1:$H$68</definedName>
    <definedName name="_xlnm._FilterDatabase" localSheetId="2" hidden="1">Normalised!$A$1:$G$174</definedName>
    <definedName name="_xlnm._FilterDatabase" localSheetId="3" hidden="1">'Normalised Goal'!$A$1:$H$1</definedName>
    <definedName name="_xlnm._FilterDatabase" localSheetId="1" hidden="1">'Original Dataset'!$A$2:$X$59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8" i="5" l="1" a="1"/>
  <c r="H68" i="5" s="1"/>
  <c r="D68" i="5"/>
  <c r="C68" i="5"/>
  <c r="B68" i="5"/>
  <c r="A68" i="5"/>
  <c r="H67" i="5" a="1"/>
  <c r="H67" i="5" s="1"/>
  <c r="D67" i="5"/>
  <c r="C67" i="5"/>
  <c r="B67" i="5"/>
  <c r="A67" i="5"/>
  <c r="H66" i="5" a="1"/>
  <c r="H66" i="5" s="1"/>
  <c r="D66" i="5"/>
  <c r="C66" i="5"/>
  <c r="B66" i="5"/>
  <c r="A66" i="5"/>
  <c r="H65" i="5" a="1"/>
  <c r="H65" i="5" s="1"/>
  <c r="D65" i="5"/>
  <c r="C65" i="5"/>
  <c r="B65" i="5"/>
  <c r="A65" i="5"/>
  <c r="H64" i="5" a="1"/>
  <c r="H64" i="5" s="1"/>
  <c r="D64" i="5"/>
  <c r="C64" i="5"/>
  <c r="B64" i="5"/>
  <c r="A64" i="5"/>
  <c r="H63" i="5" a="1"/>
  <c r="H63" i="5" s="1"/>
  <c r="D63" i="5"/>
  <c r="C63" i="5"/>
  <c r="B63" i="5"/>
  <c r="A63" i="5"/>
  <c r="H62" i="5" a="1"/>
  <c r="H62" i="5" s="1"/>
  <c r="D62" i="5"/>
  <c r="C62" i="5"/>
  <c r="B62" i="5"/>
  <c r="A62" i="5"/>
  <c r="H61" i="5" a="1"/>
  <c r="H61" i="5" s="1"/>
  <c r="D61" i="5"/>
  <c r="C61" i="5"/>
  <c r="B61" i="5"/>
  <c r="A61" i="5"/>
  <c r="H60" i="5" a="1"/>
  <c r="H60" i="5" s="1"/>
  <c r="D60" i="5"/>
  <c r="C60" i="5"/>
  <c r="B60" i="5"/>
  <c r="A60" i="5"/>
  <c r="H59" i="5" a="1"/>
  <c r="H59" i="5" s="1"/>
  <c r="D59" i="5"/>
  <c r="C59" i="5"/>
  <c r="B59" i="5"/>
  <c r="A59" i="5"/>
  <c r="H58" i="5" a="1"/>
  <c r="H58" i="5" s="1"/>
  <c r="D58" i="5"/>
  <c r="C58" i="5"/>
  <c r="B58" i="5"/>
  <c r="A58" i="5"/>
  <c r="H57" i="5" a="1"/>
  <c r="H57" i="5" s="1"/>
  <c r="D57" i="5"/>
  <c r="C57" i="5"/>
  <c r="B57" i="5"/>
  <c r="A57" i="5"/>
  <c r="H56" i="5" a="1"/>
  <c r="H56" i="5" s="1"/>
  <c r="D56" i="5"/>
  <c r="C56" i="5"/>
  <c r="B56" i="5"/>
  <c r="A56" i="5"/>
  <c r="H55" i="5" a="1"/>
  <c r="H55" i="5" s="1"/>
  <c r="D55" i="5"/>
  <c r="C55" i="5"/>
  <c r="B55" i="5"/>
  <c r="A55" i="5"/>
  <c r="H54" i="5" a="1"/>
  <c r="H54" i="5" s="1"/>
  <c r="D54" i="5"/>
  <c r="C54" i="5"/>
  <c r="B54" i="5"/>
  <c r="A54" i="5"/>
  <c r="H53" i="5" a="1"/>
  <c r="H53" i="5" s="1"/>
  <c r="D53" i="5"/>
  <c r="C53" i="5"/>
  <c r="B53" i="5"/>
  <c r="A53" i="5"/>
  <c r="H52" i="5" a="1"/>
  <c r="H52" i="5" s="1"/>
  <c r="D52" i="5"/>
  <c r="C52" i="5"/>
  <c r="B52" i="5"/>
  <c r="A52" i="5"/>
  <c r="H51" i="5" a="1"/>
  <c r="H51" i="5" s="1"/>
  <c r="D51" i="5"/>
  <c r="C51" i="5"/>
  <c r="B51" i="5"/>
  <c r="A51" i="5"/>
  <c r="H50" i="5" a="1"/>
  <c r="H50" i="5" s="1"/>
  <c r="D50" i="5"/>
  <c r="C50" i="5"/>
  <c r="B50" i="5"/>
  <c r="A50" i="5"/>
  <c r="H49" i="5" a="1"/>
  <c r="H49" i="5" s="1"/>
  <c r="D49" i="5"/>
  <c r="C49" i="5"/>
  <c r="B49" i="5"/>
  <c r="A49" i="5"/>
  <c r="H48" i="5" a="1"/>
  <c r="H48" i="5" s="1"/>
  <c r="D48" i="5"/>
  <c r="C48" i="5"/>
  <c r="B48" i="5"/>
  <c r="A48" i="5"/>
  <c r="H47" i="5" a="1"/>
  <c r="H47" i="5" s="1"/>
  <c r="D47" i="5"/>
  <c r="C47" i="5"/>
  <c r="B47" i="5"/>
  <c r="A47" i="5"/>
  <c r="H46" i="5" a="1"/>
  <c r="H46" i="5" s="1"/>
  <c r="D46" i="5"/>
  <c r="C46" i="5"/>
  <c r="B46" i="5"/>
  <c r="A46" i="5"/>
  <c r="H45" i="5" a="1"/>
  <c r="H45" i="5" s="1"/>
  <c r="D45" i="5"/>
  <c r="C45" i="5"/>
  <c r="B45" i="5"/>
  <c r="A45" i="5"/>
  <c r="H44" i="5" a="1"/>
  <c r="H44" i="5" s="1"/>
  <c r="D44" i="5"/>
  <c r="C44" i="5"/>
  <c r="B44" i="5"/>
  <c r="A44" i="5"/>
  <c r="H43" i="5" a="1"/>
  <c r="H43" i="5" s="1"/>
  <c r="D43" i="5"/>
  <c r="C43" i="5"/>
  <c r="B43" i="5"/>
  <c r="A43" i="5"/>
  <c r="H42" i="5" a="1"/>
  <c r="H42" i="5" s="1"/>
  <c r="D42" i="5"/>
  <c r="C42" i="5"/>
  <c r="B42" i="5"/>
  <c r="A42" i="5"/>
  <c r="H41" i="5" a="1"/>
  <c r="H41" i="5" s="1"/>
  <c r="D41" i="5"/>
  <c r="C41" i="5"/>
  <c r="B41" i="5"/>
  <c r="A41" i="5"/>
  <c r="H40" i="5" a="1"/>
  <c r="H40" i="5" s="1"/>
  <c r="D40" i="5"/>
  <c r="C40" i="5"/>
  <c r="B40" i="5"/>
  <c r="A40" i="5"/>
  <c r="H39" i="5" a="1"/>
  <c r="H39" i="5" s="1"/>
  <c r="D39" i="5"/>
  <c r="C39" i="5"/>
  <c r="B39" i="5"/>
  <c r="A39" i="5"/>
  <c r="H38" i="5" a="1"/>
  <c r="H38" i="5" s="1"/>
  <c r="D38" i="5"/>
  <c r="C38" i="5"/>
  <c r="B38" i="5"/>
  <c r="A38" i="5"/>
  <c r="H37" i="5" a="1"/>
  <c r="H37" i="5" s="1"/>
  <c r="D37" i="5"/>
  <c r="C37" i="5"/>
  <c r="B37" i="5"/>
  <c r="A37" i="5"/>
  <c r="H36" i="5" a="1"/>
  <c r="H36" i="5" s="1"/>
  <c r="D36" i="5"/>
  <c r="C36" i="5"/>
  <c r="B36" i="5"/>
  <c r="A36" i="5"/>
  <c r="H35" i="5" a="1"/>
  <c r="H35" i="5" s="1"/>
  <c r="D35" i="5"/>
  <c r="C35" i="5"/>
  <c r="B35" i="5"/>
  <c r="A35" i="5"/>
  <c r="H34" i="5" a="1"/>
  <c r="H34" i="5" s="1"/>
  <c r="D34" i="5"/>
  <c r="C34" i="5"/>
  <c r="B34" i="5"/>
  <c r="A34" i="5"/>
  <c r="H33" i="5" a="1"/>
  <c r="H33" i="5" s="1"/>
  <c r="D33" i="5"/>
  <c r="C33" i="5"/>
  <c r="B33" i="5"/>
  <c r="A33" i="5"/>
  <c r="H32" i="5" a="1"/>
  <c r="H32" i="5" s="1"/>
  <c r="D32" i="5"/>
  <c r="C32" i="5"/>
  <c r="B32" i="5"/>
  <c r="A32" i="5"/>
  <c r="H31" i="5" a="1"/>
  <c r="H31" i="5" s="1"/>
  <c r="D31" i="5"/>
  <c r="C31" i="5"/>
  <c r="B31" i="5"/>
  <c r="A31" i="5"/>
  <c r="H30" i="5" a="1"/>
  <c r="H30" i="5" s="1"/>
  <c r="D30" i="5"/>
  <c r="C30" i="5"/>
  <c r="B30" i="5"/>
  <c r="A30" i="5"/>
  <c r="H29" i="5" a="1"/>
  <c r="H29" i="5" s="1"/>
  <c r="D29" i="5"/>
  <c r="C29" i="5"/>
  <c r="B29" i="5"/>
  <c r="A29" i="5"/>
  <c r="H28" i="5" a="1"/>
  <c r="H28" i="5" s="1"/>
  <c r="D28" i="5"/>
  <c r="C28" i="5"/>
  <c r="B28" i="5"/>
  <c r="A28" i="5"/>
  <c r="H27" i="5" a="1"/>
  <c r="H27" i="5" s="1"/>
  <c r="D27" i="5"/>
  <c r="C27" i="5"/>
  <c r="B27" i="5"/>
  <c r="A27" i="5"/>
  <c r="H26" i="5" a="1"/>
  <c r="H26" i="5" s="1"/>
  <c r="D26" i="5"/>
  <c r="C26" i="5"/>
  <c r="B26" i="5"/>
  <c r="A26" i="5"/>
  <c r="H25" i="5" a="1"/>
  <c r="H25" i="5" s="1"/>
  <c r="D25" i="5"/>
  <c r="C25" i="5"/>
  <c r="B25" i="5"/>
  <c r="A25" i="5"/>
  <c r="H24" i="5" a="1"/>
  <c r="H24" i="5" s="1"/>
  <c r="D24" i="5"/>
  <c r="C24" i="5"/>
  <c r="B24" i="5"/>
  <c r="A24" i="5"/>
  <c r="H23" i="5" a="1"/>
  <c r="H23" i="5" s="1"/>
  <c r="D23" i="5"/>
  <c r="C23" i="5"/>
  <c r="B23" i="5"/>
  <c r="A23" i="5"/>
  <c r="H22" i="5" a="1"/>
  <c r="H22" i="5" s="1"/>
  <c r="D22" i="5"/>
  <c r="C22" i="5"/>
  <c r="B22" i="5"/>
  <c r="A22" i="5"/>
  <c r="H21" i="5" a="1"/>
  <c r="H21" i="5" s="1"/>
  <c r="D21" i="5"/>
  <c r="C21" i="5"/>
  <c r="B21" i="5"/>
  <c r="A21" i="5"/>
  <c r="H20" i="5" a="1"/>
  <c r="H20" i="5" s="1"/>
  <c r="D20" i="5"/>
  <c r="C20" i="5"/>
  <c r="B20" i="5"/>
  <c r="A20" i="5"/>
  <c r="H19" i="5" a="1"/>
  <c r="H19" i="5" s="1"/>
  <c r="D19" i="5"/>
  <c r="C19" i="5"/>
  <c r="B19" i="5"/>
  <c r="A19" i="5"/>
  <c r="H18" i="5" a="1"/>
  <c r="H18" i="5" s="1"/>
  <c r="D18" i="5"/>
  <c r="C18" i="5"/>
  <c r="B18" i="5"/>
  <c r="A18" i="5"/>
  <c r="H17" i="5" a="1"/>
  <c r="H17" i="5" s="1"/>
  <c r="D17" i="5"/>
  <c r="C17" i="5"/>
  <c r="B17" i="5"/>
  <c r="A17" i="5"/>
  <c r="H16" i="5" a="1"/>
  <c r="H16" i="5" s="1"/>
  <c r="D16" i="5"/>
  <c r="C16" i="5"/>
  <c r="B16" i="5"/>
  <c r="A16" i="5"/>
  <c r="H15" i="5" a="1"/>
  <c r="H15" i="5" s="1"/>
  <c r="D15" i="5"/>
  <c r="C15" i="5"/>
  <c r="B15" i="5"/>
  <c r="A15" i="5"/>
  <c r="H14" i="5" a="1"/>
  <c r="H14" i="5" s="1"/>
  <c r="D14" i="5"/>
  <c r="C14" i="5"/>
  <c r="B14" i="5"/>
  <c r="A14" i="5"/>
  <c r="H13" i="5" a="1"/>
  <c r="H13" i="5" s="1"/>
  <c r="D13" i="5"/>
  <c r="C13" i="5"/>
  <c r="B13" i="5"/>
  <c r="A13" i="5"/>
  <c r="H12" i="5" a="1"/>
  <c r="H12" i="5" s="1"/>
  <c r="D12" i="5"/>
  <c r="C12" i="5"/>
  <c r="B12" i="5"/>
  <c r="A12" i="5"/>
  <c r="H11" i="5" a="1"/>
  <c r="H11" i="5" s="1"/>
  <c r="D11" i="5"/>
  <c r="C11" i="5"/>
  <c r="B11" i="5"/>
  <c r="A11" i="5"/>
  <c r="H10" i="5" a="1"/>
  <c r="H10" i="5" s="1"/>
  <c r="D10" i="5"/>
  <c r="C10" i="5"/>
  <c r="B10" i="5"/>
  <c r="A10" i="5"/>
  <c r="H9" i="5" a="1"/>
  <c r="H9" i="5" s="1"/>
  <c r="D9" i="5"/>
  <c r="C9" i="5"/>
  <c r="B9" i="5"/>
  <c r="A9" i="5"/>
  <c r="H8" i="5" a="1"/>
  <c r="H8" i="5" s="1"/>
  <c r="D8" i="5"/>
  <c r="C8" i="5"/>
  <c r="B8" i="5"/>
  <c r="A8" i="5"/>
  <c r="H7" i="5" a="1"/>
  <c r="H7" i="5" s="1"/>
  <c r="D7" i="5"/>
  <c r="C7" i="5"/>
  <c r="B7" i="5"/>
  <c r="A7" i="5"/>
  <c r="H6" i="5" a="1"/>
  <c r="H6" i="5" s="1"/>
  <c r="D6" i="5"/>
  <c r="C6" i="5"/>
  <c r="B6" i="5"/>
  <c r="A6" i="5"/>
  <c r="H5" i="5" a="1"/>
  <c r="H5" i="5" s="1"/>
  <c r="D5" i="5"/>
  <c r="C5" i="5"/>
  <c r="B5" i="5"/>
  <c r="A5" i="5"/>
  <c r="H4" i="5" a="1"/>
  <c r="H4" i="5" s="1"/>
  <c r="D4" i="5"/>
  <c r="L4" i="5" s="1" a="1"/>
  <c r="L4" i="5" s="1"/>
  <c r="C4" i="5"/>
  <c r="B4" i="5"/>
  <c r="A4" i="5"/>
  <c r="H3" i="5" a="1"/>
  <c r="H3" i="5" s="1"/>
  <c r="D3" i="5"/>
  <c r="L3" i="5" s="1" a="1"/>
  <c r="L3" i="5" s="1"/>
  <c r="C3" i="5"/>
  <c r="B3" i="5"/>
  <c r="A3" i="5"/>
  <c r="L2" i="5" a="1"/>
  <c r="L2" i="5" s="1"/>
  <c r="K2" i="5"/>
  <c r="H2" i="5" a="1"/>
  <c r="H2" i="5" s="1"/>
  <c r="D2" i="5"/>
  <c r="C2" i="5"/>
  <c r="B2" i="5"/>
  <c r="A2" i="5"/>
  <c r="B1" i="5"/>
  <c r="A1" i="5"/>
  <c r="K4" i="5" l="1"/>
  <c r="K3" i="5"/>
</calcChain>
</file>

<file path=xl/sharedStrings.xml><?xml version="1.0" encoding="utf-8"?>
<sst xmlns="http://schemas.openxmlformats.org/spreadsheetml/2006/main" count="2156" uniqueCount="744">
  <si>
    <t>We have a modular approach for the data classification</t>
  </si>
  <si>
    <t>HS= Helpersheet</t>
  </si>
  <si>
    <t>P=Persona</t>
  </si>
  <si>
    <t>A=Activity</t>
  </si>
  <si>
    <t>E=Entity</t>
  </si>
  <si>
    <t>/</t>
  </si>
  <si>
    <t>Goal - Action</t>
  </si>
  <si>
    <t>Benefit - Action</t>
  </si>
  <si>
    <t>User Story Text</t>
  </si>
  <si>
    <t>Persona</t>
  </si>
  <si>
    <t>Goal Activity</t>
  </si>
  <si>
    <t>Goal Entity</t>
  </si>
  <si>
    <t>Goal Activity 2</t>
  </si>
  <si>
    <t>Goal Entity 2</t>
  </si>
  <si>
    <t>Goal Activity 3</t>
  </si>
  <si>
    <t>Goal Entity 3</t>
  </si>
  <si>
    <t>Goal Activity 4</t>
  </si>
  <si>
    <t>Goal Entity 4</t>
  </si>
  <si>
    <t>Benefit Activity</t>
  </si>
  <si>
    <t>Benefit Entity</t>
  </si>
  <si>
    <t>Benefit Activity 2</t>
  </si>
  <si>
    <t>Benefit Entity 2</t>
  </si>
  <si>
    <t>Benefit Activity 3</t>
  </si>
  <si>
    <t>Benefit Entity 3</t>
  </si>
  <si>
    <t>Benefit Activity 4</t>
  </si>
  <si>
    <t>Benefit Entity 4</t>
  </si>
  <si>
    <t>Benefit Activity 5</t>
  </si>
  <si>
    <t>Benefit Entity 5</t>
  </si>
  <si>
    <t>Benefit Activity 6</t>
  </si>
  <si>
    <t>Benefit Entity 6</t>
  </si>
  <si>
    <t>Benefit Activity 7</t>
  </si>
  <si>
    <t>Benefit Entity 7</t>
  </si>
  <si>
    <t>As a Public User, I want to Search for Information, so that I can obtain publicly available information concerning properties, County services, processes and other general information.</t>
  </si>
  <si>
    <t>Public User</t>
  </si>
  <si>
    <t>Search</t>
  </si>
  <si>
    <t>Information</t>
  </si>
  <si>
    <t>obtain</t>
  </si>
  <si>
    <t>publicly available information</t>
  </si>
  <si>
    <t>As a ProspectiveApplicant, I want to research requirements and to select a service, so that I can find the relevant service and/or application type to initiate via the online portal.</t>
  </si>
  <si>
    <t>ProspectiveApplicant</t>
  </si>
  <si>
    <t>research</t>
  </si>
  <si>
    <t>requirements</t>
  </si>
  <si>
    <t>select</t>
  </si>
  <si>
    <t>service</t>
  </si>
  <si>
    <t>find</t>
  </si>
  <si>
    <t>application type</t>
  </si>
  <si>
    <t>relevant service</t>
  </si>
  <si>
    <t>initiate</t>
  </si>
  <si>
    <t>As an Applicant, I want to Request PreApplication Assistance, so that I can receive a response to a request for a meeting or information that is a result of the preapplication assistance.</t>
  </si>
  <si>
    <t>Applicant</t>
  </si>
  <si>
    <t>Request</t>
  </si>
  <si>
    <t>PreApplication Assistance</t>
  </si>
  <si>
    <t>receive</t>
  </si>
  <si>
    <t>response</t>
  </si>
  <si>
    <t>information</t>
  </si>
  <si>
    <t>As a Customer, I want to Create a Customer Portal User Account, so that I can log on to the Customer Portal and perform transactions that first require user authentication.</t>
  </si>
  <si>
    <t>Customer</t>
  </si>
  <si>
    <t>Create</t>
  </si>
  <si>
    <t>Customer Portal User Account</t>
  </si>
  <si>
    <t>log</t>
  </si>
  <si>
    <t>Customer Portal</t>
  </si>
  <si>
    <t>perform</t>
  </si>
  <si>
    <t>transactions</t>
  </si>
  <si>
    <t>As an Applicant, I want to Submit Application, so that I can provide my information, plans and/or documents to initiate a transaction with the County.</t>
  </si>
  <si>
    <t>Submit</t>
  </si>
  <si>
    <t>Application</t>
  </si>
  <si>
    <t>provide</t>
  </si>
  <si>
    <t>plans</t>
  </si>
  <si>
    <t>documents</t>
  </si>
  <si>
    <t>transaction</t>
  </si>
  <si>
    <t>As an Applicant, I want to Submit Supporting Documentation, so that I can satisfy documentation requirements for my application.</t>
  </si>
  <si>
    <t>Supporting Documentation</t>
  </si>
  <si>
    <t>satisfy</t>
  </si>
  <si>
    <t>documentation requirements</t>
  </si>
  <si>
    <t>As an Applicant, I want to Pay Fee, so that I can satisfy outstanding charge associated with the service requested or received from the County.</t>
  </si>
  <si>
    <t>Pay</t>
  </si>
  <si>
    <t>Fee</t>
  </si>
  <si>
    <t>outstanding charge</t>
  </si>
  <si>
    <t>received from</t>
  </si>
  <si>
    <t>County</t>
  </si>
  <si>
    <t>As an Applicant, I want to Check the Status of a transaction, so that I can understand where the provisioning of my service is in the process, such as information related to service levels, fees, plan review, permit, or inspection results.</t>
  </si>
  <si>
    <t>Check</t>
  </si>
  <si>
    <t>Status</t>
  </si>
  <si>
    <t>understand</t>
  </si>
  <si>
    <t>As an Applicant, I want to Modify my Application, so that I can successfully change information on an application.</t>
  </si>
  <si>
    <t>Modify</t>
  </si>
  <si>
    <t>successfully change</t>
  </si>
  <si>
    <t>As a Staff member, I want to Perform a Completeness Review, so that I can validate when an application is complete and eligible for further technical review.</t>
  </si>
  <si>
    <t>Staff member</t>
  </si>
  <si>
    <t>Perform</t>
  </si>
  <si>
    <t>Completeness Review</t>
  </si>
  <si>
    <t>validate</t>
  </si>
  <si>
    <t>eligible for further technical review</t>
  </si>
  <si>
    <t>application</t>
  </si>
  <si>
    <t>As a Staff member, I want to Record an Internal Note, so that I can share information with other Staff collaborating on the record.</t>
  </si>
  <si>
    <t>Record</t>
  </si>
  <si>
    <t>Internal Note</t>
  </si>
  <si>
    <t>share</t>
  </si>
  <si>
    <t>As a Staff member, I want to Assign an Application for Detailed Review, so that I can review the for compliance and subsequently approved or denied.</t>
  </si>
  <si>
    <t>Assign</t>
  </si>
  <si>
    <t>review</t>
  </si>
  <si>
    <t>compliance</t>
  </si>
  <si>
    <t>subsequently approved</t>
  </si>
  <si>
    <t>denied</t>
  </si>
  <si>
    <t>As a Staff member, I want to Apply a Hold, so that I can prevent progression through the workflow or other actions in the system until the issue is resolved.</t>
  </si>
  <si>
    <t>Apply</t>
  </si>
  <si>
    <t>Hold</t>
  </si>
  <si>
    <t>prevent</t>
  </si>
  <si>
    <t>progression</t>
  </si>
  <si>
    <t>other actions</t>
  </si>
  <si>
    <t>As a Staff member, I want to Remove a Hold, so that I can allow progression through the workflow or other actions in the system now that the issue has been resolved.</t>
  </si>
  <si>
    <t>Remove</t>
  </si>
  <si>
    <t>allow</t>
  </si>
  <si>
    <t>resolved</t>
  </si>
  <si>
    <t>issue</t>
  </si>
  <si>
    <t>As a Staff member, I want to Send a Formal Response to Applicant, so that I can satisfy communication and records responsibilities.</t>
  </si>
  <si>
    <t>Send</t>
  </si>
  <si>
    <t>Formal Response</t>
  </si>
  <si>
    <t>communication</t>
  </si>
  <si>
    <t>records responsibilities</t>
  </si>
  <si>
    <t>As a Staff member, I want to Track  the Draft Proffers, so that I can preserve the history of draft proffer statements submitted by the Applicant.</t>
  </si>
  <si>
    <t>Track</t>
  </si>
  <si>
    <t>Draft Proffers</t>
  </si>
  <si>
    <t>preserve</t>
  </si>
  <si>
    <t>history of draft proffer statements</t>
  </si>
  <si>
    <t>As a Staff member, I want to Manage Approved Proffers, so that I can ensure compliance with and satisfaction of the proffer in the future.</t>
  </si>
  <si>
    <t>Manage</t>
  </si>
  <si>
    <t>Approved Proffers</t>
  </si>
  <si>
    <t>ensure</t>
  </si>
  <si>
    <t>satisfaction</t>
  </si>
  <si>
    <t>As a Staff member, I want to Manage Ordinances, so that I can maintain accurate ordinance information in the System.</t>
  </si>
  <si>
    <t>Ordinances</t>
  </si>
  <si>
    <t>maintain</t>
  </si>
  <si>
    <t>accurate ordinance information</t>
  </si>
  <si>
    <t>As a Staff member, I want to Schedule a Meeting, so that I can bring the required parties together at a specific date/time to address an issue.</t>
  </si>
  <si>
    <t>Schedule</t>
  </si>
  <si>
    <t>Meeting</t>
  </si>
  <si>
    <t>bring</t>
  </si>
  <si>
    <t>required parties</t>
  </si>
  <si>
    <t>address</t>
  </si>
  <si>
    <t>As a staff member, I want to denote an application with a Final Action status. So that I can finish it.</t>
  </si>
  <si>
    <t>staff member</t>
  </si>
  <si>
    <t>denote</t>
  </si>
  <si>
    <t>As a Planning Staff member, I want to Conduct and Track Plan Amendments and Planning Studies, so that I can record work in process, outcome, and location-based information related to the Plan(s).</t>
  </si>
  <si>
    <t>Planning Staff member</t>
  </si>
  <si>
    <t>Plan Amendments</t>
  </si>
  <si>
    <t>Planning Studies</t>
  </si>
  <si>
    <t>Conduct</t>
  </si>
  <si>
    <t>record</t>
  </si>
  <si>
    <t>work in process</t>
  </si>
  <si>
    <t>outcome</t>
  </si>
  <si>
    <t>location-based information</t>
  </si>
  <si>
    <t>As a Planning Staff member, I want to Generate Planning-related Reports, so that I can access, analyze and/or export the needed information in the format I requested.</t>
  </si>
  <si>
    <t>Generate</t>
  </si>
  <si>
    <t>Planning-related Reports</t>
  </si>
  <si>
    <t>access</t>
  </si>
  <si>
    <t>needed information</t>
  </si>
  <si>
    <t>analyze</t>
  </si>
  <si>
    <t>export</t>
  </si>
  <si>
    <t>As a Planning Staff member, I want to Evaluate Consistency with the Comprehensive Plan, so that I can complete my required review of a plan set and/or application.</t>
  </si>
  <si>
    <t>Evaluate</t>
  </si>
  <si>
    <t>Consistency</t>
  </si>
  <si>
    <t>complete</t>
  </si>
  <si>
    <t>required review</t>
  </si>
  <si>
    <t>As a Staff member, I want to Perform a Staff Review, so that I can validate compliance of an application with the Zoning Ordinance and impact approval/denial of the application accordingly.</t>
  </si>
  <si>
    <t>Staff Review</t>
  </si>
  <si>
    <t>As a Zoning Staff member, I want to Process the Requests for Zoning Information, so that I can capture my response to the request in the system and also send a communication from the system to the Applicant.</t>
  </si>
  <si>
    <t>Zoning Staff member</t>
  </si>
  <si>
    <t>Process</t>
  </si>
  <si>
    <t>Requests</t>
  </si>
  <si>
    <t>capture</t>
  </si>
  <si>
    <t>send</t>
  </si>
  <si>
    <t>As a Zoning Staff member, I want to Issue the Zoning-Related Permits, so that I can satisfy an Applicant's request for service that has proven to be eligible and in compliance with the Zoning Ordinance.</t>
  </si>
  <si>
    <t>Issue</t>
  </si>
  <si>
    <t>Zoning-Related Permits</t>
  </si>
  <si>
    <t>Applicant's request</t>
  </si>
  <si>
    <t>As a Staff member, I want to Develop a Staff Report, so that I can publish and distribute the report according to business rules.</t>
  </si>
  <si>
    <t>Develop</t>
  </si>
  <si>
    <t>Staff Report</t>
  </si>
  <si>
    <t>publish</t>
  </si>
  <si>
    <t>report</t>
  </si>
  <si>
    <t>distribute</t>
  </si>
  <si>
    <t>As a Staff member, I want to Manage Hearing Calendars, so that I can track hearing-related activities and due dates.</t>
  </si>
  <si>
    <t>Hearing Calendars</t>
  </si>
  <si>
    <t>track</t>
  </si>
  <si>
    <t>hearing-related activities</t>
  </si>
  <si>
    <t>due dates</t>
  </si>
  <si>
    <t>As a Staff member, I want to Assign a Hearing Date, so that I can present the application to the appropriate governing body within the timelines dictated by the relevant County rules and procedures.</t>
  </si>
  <si>
    <t>Hearing Date</t>
  </si>
  <si>
    <t>present</t>
  </si>
  <si>
    <t>As a Staff member, I want to Manage Affidavits, so that I can ensure compliance with the requirements prior to the hearing.</t>
  </si>
  <si>
    <t>Affidavits</t>
  </si>
  <si>
    <t>As an Applicant, I want to Satisfy Hearing Requirements, so that I can ensure all pre-hearing requirements are satisfied in time for the hearing.</t>
  </si>
  <si>
    <t>Satisfy</t>
  </si>
  <si>
    <t>Hearing Requirements</t>
  </si>
  <si>
    <t>As a Staff member, I want to Prepare for and Support Hearing Execution, so that I can ensure all pre-hearing requirements are satisfied and staff and Applicant are ready for the hearing.</t>
  </si>
  <si>
    <t>Support</t>
  </si>
  <si>
    <t>Hearing Execution</t>
  </si>
  <si>
    <t>Prepare</t>
  </si>
  <si>
    <t>As a Staff member, I want to Capture a Hearing Decision, so that I can enforce the system.</t>
  </si>
  <si>
    <t>Capture</t>
  </si>
  <si>
    <t>Hearing Decision</t>
  </si>
  <si>
    <t>enforce</t>
  </si>
  <si>
    <t>system</t>
  </si>
  <si>
    <t>As a Staff member, I want to Process the Appeals, so that I can track the outcome and record the impact on the relevant records.</t>
  </si>
  <si>
    <t>Appeals</t>
  </si>
  <si>
    <t>impact</t>
  </si>
  <si>
    <t>As a Plan Review Staff member, I want to Assign Plans for Review, so that I can ensure plans have been assigned to the appropriate Plan Reviewer.</t>
  </si>
  <si>
    <t>Plan Review Staff member</t>
  </si>
  <si>
    <t>Plans</t>
  </si>
  <si>
    <t>assigned</t>
  </si>
  <si>
    <t>As a Plan Review Staff Supervisor, I want to Manage Plan Reviewer Workload, so that I can monitor and effectively adjust workload as necessary and ensure service levels are met</t>
  </si>
  <si>
    <t>Plan Review Staff Supervisor</t>
  </si>
  <si>
    <t>Plan Reviewer Workload</t>
  </si>
  <si>
    <t>monitor</t>
  </si>
  <si>
    <t>workload</t>
  </si>
  <si>
    <t>effectively adjust</t>
  </si>
  <si>
    <t>met</t>
  </si>
  <si>
    <t>service levels</t>
  </si>
  <si>
    <t>As an Applicant, I want to Request a Plan Review Meeting, so that I can meet with the Plan Review Staff regarding the plan review.</t>
  </si>
  <si>
    <t>Plan Review Meeting</t>
  </si>
  <si>
    <t>meet</t>
  </si>
  <si>
    <t>Plan Review Staff</t>
  </si>
  <si>
    <t>As a Plan Review Staff member, I want to successfully Conduct a Plan Review Meeting with the Applicant and record the outcome, so that I can listen to it again.</t>
  </si>
  <si>
    <t>successfully Conduct</t>
  </si>
  <si>
    <t>As a Plan Review Staff member, I want to Review Plans, so that I can review them for compliance and either approve, or fail or deny the plans and record any conditions, clearances, or corrections needed from the Applicant.</t>
  </si>
  <si>
    <t>Review</t>
  </si>
  <si>
    <t>approve</t>
  </si>
  <si>
    <t>fail</t>
  </si>
  <si>
    <t>deny</t>
  </si>
  <si>
    <t>clearances</t>
  </si>
  <si>
    <t>corrections</t>
  </si>
  <si>
    <t>any conditions</t>
  </si>
  <si>
    <t>As an Applicant, I want to Resubmit Plans, so that I can review revised plans.</t>
  </si>
  <si>
    <t>Resubmit</t>
  </si>
  <si>
    <t>revised plans</t>
  </si>
  <si>
    <t>As a Plan Review Staff Member, I want to Review the Code Modifications submitted by the Applicant, so that I can review the request and if approved, associate it with the appropriate project.</t>
  </si>
  <si>
    <t>Plan Review Staff Member</t>
  </si>
  <si>
    <t>Code Modifications</t>
  </si>
  <si>
    <t>request</t>
  </si>
  <si>
    <t>associate</t>
  </si>
  <si>
    <t>appropriate project</t>
  </si>
  <si>
    <t>As a Plan Review Staff member, I want to Track the Completion of Required Plan Reviews, so that I can ensure all plan review tasks are completed, results have been sent to the Applicant and any downstream steps are initiated such has a final review or payment for permit issuance.</t>
  </si>
  <si>
    <t>Completion of Required Plan Reviews</t>
  </si>
  <si>
    <t>completed</t>
  </si>
  <si>
    <t>plan review tasks</t>
  </si>
  <si>
    <t>sent</t>
  </si>
  <si>
    <t>results</t>
  </si>
  <si>
    <t>initiated</t>
  </si>
  <si>
    <t>any downstream steps</t>
  </si>
  <si>
    <t>As a Development Staff member, I want to Issue a Development-related Permit, so that I can grant the request to the Applicant to begin work</t>
  </si>
  <si>
    <t>Development Staff member</t>
  </si>
  <si>
    <t>Development-related Permit</t>
  </si>
  <si>
    <t>grant</t>
  </si>
  <si>
    <t>begin</t>
  </si>
  <si>
    <t>work</t>
  </si>
  <si>
    <t>As a Staff member, I want to Manage Bonds, so that I can track and manage bonds throughout the lifecycle of the project until release.</t>
  </si>
  <si>
    <t>Bonds</t>
  </si>
  <si>
    <t>bonds</t>
  </si>
  <si>
    <t>manage</t>
  </si>
  <si>
    <t>As an Applicant, I want to Complete Building Development Project, so that I can receive any posted bond and/or obtain occupancy.</t>
  </si>
  <si>
    <t>Complete</t>
  </si>
  <si>
    <t>Building Development Project</t>
  </si>
  <si>
    <t>any posted bond</t>
  </si>
  <si>
    <t>occupancy</t>
  </si>
  <si>
    <t>As a Customer, I want to Request Inspection, so that a County inspector is assigned to perform an inspection of my project.</t>
  </si>
  <si>
    <t>Inspection</t>
  </si>
  <si>
    <t>inspection</t>
  </si>
  <si>
    <t>County inspector</t>
  </si>
  <si>
    <t>As an Inspection Staff member, I want to Create an Inspection, so that I can schedule and assign the inspection.</t>
  </si>
  <si>
    <t>Inspection Staff member</t>
  </si>
  <si>
    <t>schedule</t>
  </si>
  <si>
    <t>assign</t>
  </si>
  <si>
    <t>As an Inspection Staff Supervisor, I want to Assign Inspections, so that I can make sure the appropriate Inspector receives the work.</t>
  </si>
  <si>
    <t>Inspection Staff Supervisor</t>
  </si>
  <si>
    <t>Inspections</t>
  </si>
  <si>
    <t>As an Inspection Supervisor, I want to Manage Inspector Workload, so that I can meet service level and quality requirements.</t>
  </si>
  <si>
    <t>Inspection Supervisor</t>
  </si>
  <si>
    <t>Inspector Workload</t>
  </si>
  <si>
    <t>quality requirements</t>
  </si>
  <si>
    <t xml:space="preserve">service level </t>
  </si>
  <si>
    <t>As an Inspector, I want to Conduct Inspections, so that I can validate Customer compliance with code and regulations and provide results of the inspection to the Customer.</t>
  </si>
  <si>
    <t>Inspector</t>
  </si>
  <si>
    <t>Customer compliance</t>
  </si>
  <si>
    <t>As an Enforcement Staff member, I want to Issue a Notice of Violation, so that I can provide formal communication to the responsible party.</t>
  </si>
  <si>
    <t>Enforcement Staff member</t>
  </si>
  <si>
    <t>Notice of Violation</t>
  </si>
  <si>
    <t>formal communication</t>
  </si>
  <si>
    <t>As a l Staff member, I want to search for Property information, so that I can obtain all associated current and historic owners, permits, and applications.</t>
  </si>
  <si>
    <t>search</t>
  </si>
  <si>
    <t>Property information</t>
  </si>
  <si>
    <t>associated current and historic owners</t>
  </si>
  <si>
    <t>permits</t>
  </si>
  <si>
    <t>applications</t>
  </si>
  <si>
    <t>As a Staff member, I need to be notified when Geospatial attributes change, so that I can ensure that I am reviewing the permit/application to the most current data and appropriate standards.</t>
  </si>
  <si>
    <t>be notified</t>
  </si>
  <si>
    <t>when</t>
  </si>
  <si>
    <t>reviewing</t>
  </si>
  <si>
    <t>permit</t>
  </si>
  <si>
    <t>As a County Staff Member, I want to create a custom query/report outside of the common querying/reporting functionality, so that I can fulfill a request.</t>
  </si>
  <si>
    <t>County Staff Member</t>
  </si>
  <si>
    <t>create</t>
  </si>
  <si>
    <t>custom query/report</t>
  </si>
  <si>
    <t>fulfill</t>
  </si>
  <si>
    <t>As a Staff member, I want to create each condo unit, so that I can associate it to the child parcel and address after the condominiums are recorded in the system.</t>
  </si>
  <si>
    <t>each condo unit</t>
  </si>
  <si>
    <t>child parcel</t>
  </si>
  <si>
    <t>condominiums</t>
  </si>
  <si>
    <t>As a Technical Staff member, I want to update the GIS Property Management, so that I can successfully update the transactional Parcel Pin to reference the GIS layer where the Split or Merged Parcel Pin exists.</t>
  </si>
  <si>
    <t>Technical Staff member</t>
  </si>
  <si>
    <t>update</t>
  </si>
  <si>
    <t>GIS Property Management</t>
  </si>
  <si>
    <t>successfully update</t>
  </si>
  <si>
    <t>transactional Parcel Pin</t>
  </si>
  <si>
    <t>reference</t>
  </si>
  <si>
    <t>GIS layer</t>
  </si>
  <si>
    <t>As a Staff member, I want to Send or Post Citations and Fines, so that I can successfully send the Notice Of Violation document to the property owner and log information about the action.</t>
  </si>
  <si>
    <t>Citations</t>
  </si>
  <si>
    <t>Post</t>
  </si>
  <si>
    <t>Fines</t>
  </si>
  <si>
    <t>successfully send</t>
  </si>
  <si>
    <t>Notice Of Violation document</t>
  </si>
  <si>
    <t>ORIGINAL USID</t>
  </si>
  <si>
    <t>USID</t>
  </si>
  <si>
    <t>Activitiy</t>
  </si>
  <si>
    <t>Entity</t>
  </si>
  <si>
    <t>Part</t>
  </si>
  <si>
    <t>G-1</t>
  </si>
  <si>
    <t>As a Public User, I want to Search for Information.</t>
  </si>
  <si>
    <t>public user</t>
  </si>
  <si>
    <t>Goal</t>
  </si>
  <si>
    <t>B-1</t>
  </si>
  <si>
    <t xml:space="preserve"> so that I can obtain publicly available information concerning properties, County services, processes and other general information.</t>
  </si>
  <si>
    <t>Benefit</t>
  </si>
  <si>
    <t>G-2</t>
  </si>
  <si>
    <t>As a ProspectiveApplicant, I want to research requirements and to select a service.</t>
  </si>
  <si>
    <t>prospectiveapplicant</t>
  </si>
  <si>
    <t>requirement</t>
  </si>
  <si>
    <t>G-3</t>
  </si>
  <si>
    <t>B-2</t>
  </si>
  <si>
    <t xml:space="preserve"> so that I can find the relevant service and/or application type to initiate via the online portal.</t>
  </si>
  <si>
    <t>B-3</t>
  </si>
  <si>
    <t>B-4</t>
  </si>
  <si>
    <t>B-5</t>
  </si>
  <si>
    <t>G-4</t>
  </si>
  <si>
    <t>As an Applicant, I want to Request PreApplication Assistance.</t>
  </si>
  <si>
    <t>applicant</t>
  </si>
  <si>
    <t>preapplication assistance</t>
  </si>
  <si>
    <t>B-6</t>
  </si>
  <si>
    <t xml:space="preserve"> so that I can receive a response to a request for a meeting or information that is a result of the preapplication assistance.</t>
  </si>
  <si>
    <t>B-7</t>
  </si>
  <si>
    <t>G-5</t>
  </si>
  <si>
    <t>As a Customer, I want to Create a Customer Portal User Account.</t>
  </si>
  <si>
    <t>customer</t>
  </si>
  <si>
    <t>customer portal user account</t>
  </si>
  <si>
    <t>B-8</t>
  </si>
  <si>
    <t xml:space="preserve"> so that I can log on to the Customer Portal and perform transactions that first require user authentication.</t>
  </si>
  <si>
    <t>customer portal</t>
  </si>
  <si>
    <t>B-9</t>
  </si>
  <si>
    <t>G-6</t>
  </si>
  <si>
    <t>As an Applicant, I want to Submit Application.</t>
  </si>
  <si>
    <t>submit</t>
  </si>
  <si>
    <t>B-10</t>
  </si>
  <si>
    <t xml:space="preserve"> so that I can provide my information, plans and/or documents to initiate a transaction with the County.</t>
  </si>
  <si>
    <t>B-11</t>
  </si>
  <si>
    <t>plan</t>
  </si>
  <si>
    <t>B-12</t>
  </si>
  <si>
    <t>document</t>
  </si>
  <si>
    <t>B-13</t>
  </si>
  <si>
    <t>G-7</t>
  </si>
  <si>
    <t>As an Applicant, I want to Submit Supporting Documentation.</t>
  </si>
  <si>
    <t>support documentation</t>
  </si>
  <si>
    <t>B-14</t>
  </si>
  <si>
    <t xml:space="preserve"> so that I can satisfy documentation requirements for my application.</t>
  </si>
  <si>
    <t>documentation requirement</t>
  </si>
  <si>
    <t>B-15</t>
  </si>
  <si>
    <t xml:space="preserve"> so that I can satisfy outstanding charge associated with the service requested or received from the County.</t>
  </si>
  <si>
    <t>G-8</t>
  </si>
  <si>
    <t>As an Applicant, I want to Pay Fee.</t>
  </si>
  <si>
    <t>pay</t>
  </si>
  <si>
    <t>fee</t>
  </si>
  <si>
    <t>B-16</t>
  </si>
  <si>
    <t>receive from</t>
  </si>
  <si>
    <t>county</t>
  </si>
  <si>
    <t>G-9</t>
  </si>
  <si>
    <t>As an Applicant, I want to Check the Status of a transaction.</t>
  </si>
  <si>
    <t>check</t>
  </si>
  <si>
    <t>status</t>
  </si>
  <si>
    <t>B-17</t>
  </si>
  <si>
    <t xml:space="preserve"> so that I can understand where the provisioning of my service is in the process, such as information related to service levels, fees, plan review, permit, or inspection results.</t>
  </si>
  <si>
    <t>G-10</t>
  </si>
  <si>
    <t>As an Applicant, I want to Modify my Application.</t>
  </si>
  <si>
    <t>modify</t>
  </si>
  <si>
    <t>B-18</t>
  </si>
  <si>
    <t xml:space="preserve"> so that I can successfully change information on an application.</t>
  </si>
  <si>
    <t>B-19</t>
  </si>
  <si>
    <t xml:space="preserve"> so that I can validate when an application is complete and eligible for further technical review.</t>
  </si>
  <si>
    <t>G-11</t>
  </si>
  <si>
    <t>As a Staff member, I want to Perform a Completeness Review.</t>
  </si>
  <si>
    <t>completeness review</t>
  </si>
  <si>
    <t>B-20</t>
  </si>
  <si>
    <t>G-12</t>
  </si>
  <si>
    <t>As a Staff member, I want to Record an Internal Note.</t>
  </si>
  <si>
    <t>internal note</t>
  </si>
  <si>
    <t>B-21</t>
  </si>
  <si>
    <t xml:space="preserve"> so that I can share information with other Staff collaborating on the record.</t>
  </si>
  <si>
    <t>G-13</t>
  </si>
  <si>
    <t>As a Staff member, I want to Assign an Application for Detailed Review.</t>
  </si>
  <si>
    <t>B-22</t>
  </si>
  <si>
    <t xml:space="preserve"> so that I can review the for compliance and subsequently approved or denied.</t>
  </si>
  <si>
    <t>B-23</t>
  </si>
  <si>
    <t>subsequently approve</t>
  </si>
  <si>
    <t>B-24</t>
  </si>
  <si>
    <t>G-14</t>
  </si>
  <si>
    <t>As a Staff member, I want to Apply a Hold.</t>
  </si>
  <si>
    <t>apply</t>
  </si>
  <si>
    <t>hold</t>
  </si>
  <si>
    <t>B-25</t>
  </si>
  <si>
    <t xml:space="preserve"> so that I can prevent progression through the workflow or other actions in the system until the issue is resolved.</t>
  </si>
  <si>
    <t>B-26</t>
  </si>
  <si>
    <t>other action</t>
  </si>
  <si>
    <t>G-15</t>
  </si>
  <si>
    <t>As a Staff member, I want to Remove a Hold.</t>
  </si>
  <si>
    <t>remove</t>
  </si>
  <si>
    <t>B-27</t>
  </si>
  <si>
    <t xml:space="preserve"> so that I can allow progression through the workflow or other actions in the system now that the issue has been resolved.</t>
  </si>
  <si>
    <t>B-28</t>
  </si>
  <si>
    <t>resolve</t>
  </si>
  <si>
    <t>G-16</t>
  </si>
  <si>
    <t>As a Staff member, I want to Send a Formal Response to Applicant.</t>
  </si>
  <si>
    <t>formal response</t>
  </si>
  <si>
    <t>B-29</t>
  </si>
  <si>
    <t xml:space="preserve"> so that I can satisfy communication and records responsibilities.</t>
  </si>
  <si>
    <t>B-30</t>
  </si>
  <si>
    <t>record responsibility</t>
  </si>
  <si>
    <t>G-17</t>
  </si>
  <si>
    <t>As a Staff member, I want to Track  the Draft Proffers.</t>
  </si>
  <si>
    <t>draft proffer</t>
  </si>
  <si>
    <t>B-31</t>
  </si>
  <si>
    <t xml:space="preserve"> so that I can preserve the history of draft proffer statements submitted by the Applicant.</t>
  </si>
  <si>
    <t>history of draft proffer statement</t>
  </si>
  <si>
    <t>G-18</t>
  </si>
  <si>
    <t>As a Staff member, I want to Manage Approved Proffers.</t>
  </si>
  <si>
    <t>approve proffer</t>
  </si>
  <si>
    <t>B-32</t>
  </si>
  <si>
    <t xml:space="preserve"> so that I can ensure compliance with and satisfaction of the proffer in the future.</t>
  </si>
  <si>
    <t>B-33</t>
  </si>
  <si>
    <t>G-19</t>
  </si>
  <si>
    <t>As a Staff member, I want to Manage Ordinances.</t>
  </si>
  <si>
    <t>ordinance</t>
  </si>
  <si>
    <t>B-34</t>
  </si>
  <si>
    <t xml:space="preserve"> so that I can maintain accurate ordinance information in the System.</t>
  </si>
  <si>
    <t>G-20</t>
  </si>
  <si>
    <t>As a Staff member, I want to Schedule a Meeting.</t>
  </si>
  <si>
    <t>B-35</t>
  </si>
  <si>
    <t xml:space="preserve"> so that I can bring the required parties together at a specific date/time to address an issue.</t>
  </si>
  <si>
    <t>required party</t>
  </si>
  <si>
    <t>B-36</t>
  </si>
  <si>
    <t>G-21</t>
  </si>
  <si>
    <t>As a staff member, I want to denote an application with a Final Action status..</t>
  </si>
  <si>
    <t>G-22</t>
  </si>
  <si>
    <t>As a Planning Staff member, I want to Conduct and Track Plan Amendments and Planning Studies.</t>
  </si>
  <si>
    <t>planning staff member</t>
  </si>
  <si>
    <t>plan amendment</t>
  </si>
  <si>
    <t>G-23</t>
  </si>
  <si>
    <t>planning study</t>
  </si>
  <si>
    <t>G-24</t>
  </si>
  <si>
    <t>conduct</t>
  </si>
  <si>
    <t>G-25</t>
  </si>
  <si>
    <t>B-37</t>
  </si>
  <si>
    <t xml:space="preserve"> so that I can record work in process, outcome, and location-based information related to the Plan(s).</t>
  </si>
  <si>
    <t>B-38</t>
  </si>
  <si>
    <t>B-39</t>
  </si>
  <si>
    <t>location - base information</t>
  </si>
  <si>
    <t>G-26</t>
  </si>
  <si>
    <t>As a Planning Staff member, I want to Generate Planning-related Reports.</t>
  </si>
  <si>
    <t>generate</t>
  </si>
  <si>
    <t>planning - relate report</t>
  </si>
  <si>
    <t>B-40</t>
  </si>
  <si>
    <t xml:space="preserve"> so that I can access, analyze and/or export the needed information in the format I requested.</t>
  </si>
  <si>
    <t>need information</t>
  </si>
  <si>
    <t>B-41</t>
  </si>
  <si>
    <t>B-42</t>
  </si>
  <si>
    <t>G-27</t>
  </si>
  <si>
    <t>As a Planning Staff member, I want to Evaluate Consistency with the Comprehensive Plan.</t>
  </si>
  <si>
    <t>evaluate</t>
  </si>
  <si>
    <t>consistency</t>
  </si>
  <si>
    <t>B-43</t>
  </si>
  <si>
    <t xml:space="preserve"> so that I can complete my required review of a plan set and/or application.</t>
  </si>
  <si>
    <t>G-28</t>
  </si>
  <si>
    <t>As a Staff member, I want to Perform a Staff Review.</t>
  </si>
  <si>
    <t>staff review</t>
  </si>
  <si>
    <t>B-44</t>
  </si>
  <si>
    <t xml:space="preserve"> so that I can validate compliance of an application with the Zoning Ordinance and impact approval/denial of the application accordingly.</t>
  </si>
  <si>
    <t>G-29</t>
  </si>
  <si>
    <t>As a Zoning Staff member, I want to Process the Requests for Zoning Information.</t>
  </si>
  <si>
    <t>zoning staff member</t>
  </si>
  <si>
    <t>process</t>
  </si>
  <si>
    <t>B-45</t>
  </si>
  <si>
    <t xml:space="preserve"> so that I can capture my response to the request in the system and also send a communication from the system to the Applicant.</t>
  </si>
  <si>
    <t>B-46</t>
  </si>
  <si>
    <t>G-30</t>
  </si>
  <si>
    <t>As a Zoning Staff member, I want to Issue the Zoning-Related Permits.</t>
  </si>
  <si>
    <t>zoning - relate permit</t>
  </si>
  <si>
    <t>B-47</t>
  </si>
  <si>
    <t xml:space="preserve"> so that I can satisfy an Applicant's request for service that has proven to be eligible and in compliance with the Zoning Ordinance.</t>
  </si>
  <si>
    <t>applicant 's request</t>
  </si>
  <si>
    <t>G-31</t>
  </si>
  <si>
    <t>As a Staff member, I want to Develop a Staff Report.</t>
  </si>
  <si>
    <t>develop</t>
  </si>
  <si>
    <t>staff report</t>
  </si>
  <si>
    <t>B-48</t>
  </si>
  <si>
    <t xml:space="preserve"> so that I can publish and distribute the report according to business rules.</t>
  </si>
  <si>
    <t>B-49</t>
  </si>
  <si>
    <t>G-32</t>
  </si>
  <si>
    <t>As a Staff member, I want to Manage Hearing Calendars.</t>
  </si>
  <si>
    <t>hearing calendar</t>
  </si>
  <si>
    <t>B-50</t>
  </si>
  <si>
    <t xml:space="preserve"> so that I can track hearing-related activities and due dates.</t>
  </si>
  <si>
    <t>hearing - relate activity</t>
  </si>
  <si>
    <t>B-51</t>
  </si>
  <si>
    <t>due date</t>
  </si>
  <si>
    <t>G-33</t>
  </si>
  <si>
    <t>As a Staff member, I want to Assign a Hearing Date.</t>
  </si>
  <si>
    <t>hearing date</t>
  </si>
  <si>
    <t>B-52</t>
  </si>
  <si>
    <t xml:space="preserve"> so that I can present the application to the appropriate governing body within the timelines dictated by the relevant County rules and procedures.</t>
  </si>
  <si>
    <t>G-34</t>
  </si>
  <si>
    <t>As a Staff member, I want to Manage Affidavits.</t>
  </si>
  <si>
    <t>affidavit</t>
  </si>
  <si>
    <t>B-53</t>
  </si>
  <si>
    <t xml:space="preserve"> so that I can ensure compliance with the requirements prior to the hearing.</t>
  </si>
  <si>
    <t>G-35</t>
  </si>
  <si>
    <t>As an Applicant, I want to Satisfy Hearing Requirements.</t>
  </si>
  <si>
    <t>hearing requirement</t>
  </si>
  <si>
    <t>G-36</t>
  </si>
  <si>
    <t>As a Staff member, I want to Prepare for and Support Hearing Execution.</t>
  </si>
  <si>
    <t>support</t>
  </si>
  <si>
    <t>hearing execution</t>
  </si>
  <si>
    <t>G-37</t>
  </si>
  <si>
    <t>prepare</t>
  </si>
  <si>
    <t>G-38</t>
  </si>
  <si>
    <t>As a Staff member, I want to Capture a Hearing Decision.</t>
  </si>
  <si>
    <t>hearing decision</t>
  </si>
  <si>
    <t>B-54</t>
  </si>
  <si>
    <t xml:space="preserve"> so that I can enforce the system.</t>
  </si>
  <si>
    <t>G-39</t>
  </si>
  <si>
    <t>As a Staff member, I want to Process the Appeals.</t>
  </si>
  <si>
    <t>appeal</t>
  </si>
  <si>
    <t>B-55</t>
  </si>
  <si>
    <t xml:space="preserve"> so that I can track the outcome and record the impact on the relevant records.</t>
  </si>
  <si>
    <t>B-56</t>
  </si>
  <si>
    <t>G-40</t>
  </si>
  <si>
    <t>As a Plan Review Staff member, I want to Assign Plans for Review.</t>
  </si>
  <si>
    <t>plan review staff member</t>
  </si>
  <si>
    <t>B-57</t>
  </si>
  <si>
    <t xml:space="preserve"> so that I can ensure plans have been assigned to the appropriate Plan Reviewer.</t>
  </si>
  <si>
    <t>G-41</t>
  </si>
  <si>
    <t>As a Plan Review Staff Supervisor, I want to Manage Plan Reviewer Workload.</t>
  </si>
  <si>
    <t>plan review staff supervisor</t>
  </si>
  <si>
    <t>plan reviewer workload</t>
  </si>
  <si>
    <t>B-58</t>
  </si>
  <si>
    <t xml:space="preserve"> so that I can monitor and effectively adjust workload as necessary and ensure service levels are met</t>
  </si>
  <si>
    <t>B-59</t>
  </si>
  <si>
    <t>B-60</t>
  </si>
  <si>
    <t>service level</t>
  </si>
  <si>
    <t>G-42</t>
  </si>
  <si>
    <t>As an Applicant, I want to Request a Plan Review Meeting.</t>
  </si>
  <si>
    <t>plan review meeting</t>
  </si>
  <si>
    <t>B-61</t>
  </si>
  <si>
    <t xml:space="preserve"> so that I can meet with the Plan Review Staff regarding the plan review.</t>
  </si>
  <si>
    <t>plan review staff</t>
  </si>
  <si>
    <t>G-43</t>
  </si>
  <si>
    <t>As a Plan Review Staff member, I want to successfully Conduct a Plan Review Meeting with the Applicant and record the outcome.</t>
  </si>
  <si>
    <t>successfully conduct</t>
  </si>
  <si>
    <t>G-44</t>
  </si>
  <si>
    <t>G-45</t>
  </si>
  <si>
    <t>As a Plan Review Staff member, I want to Review Plans.</t>
  </si>
  <si>
    <t>B-62</t>
  </si>
  <si>
    <t xml:space="preserve"> so that I can review them for compliance and either approve, or fail or deny the plans and record any conditions, clearances, or corrections needed from the Applicant.</t>
  </si>
  <si>
    <t>B-63</t>
  </si>
  <si>
    <t>B-64</t>
  </si>
  <si>
    <t>B-65</t>
  </si>
  <si>
    <t>B-66</t>
  </si>
  <si>
    <t>clearance</t>
  </si>
  <si>
    <t>B-67</t>
  </si>
  <si>
    <t>correction</t>
  </si>
  <si>
    <t>B-68</t>
  </si>
  <si>
    <t>any condition</t>
  </si>
  <si>
    <t>G-46</t>
  </si>
  <si>
    <t>As an Applicant, I want to Resubmit Plans.</t>
  </si>
  <si>
    <t>resubmit</t>
  </si>
  <si>
    <t>B-69</t>
  </si>
  <si>
    <t xml:space="preserve"> so that I can review revised plans.</t>
  </si>
  <si>
    <t>revised plan</t>
  </si>
  <si>
    <t>G-47</t>
  </si>
  <si>
    <t>As a Plan Review Staff Member, I want to Review the Code Modifications submitted by the Applicant.</t>
  </si>
  <si>
    <t>code modification</t>
  </si>
  <si>
    <t>B-70</t>
  </si>
  <si>
    <t xml:space="preserve"> so that I can review the request and if approved, associate it with the appropriate project.</t>
  </si>
  <si>
    <t>B-71</t>
  </si>
  <si>
    <t>B-72</t>
  </si>
  <si>
    <t>B-73</t>
  </si>
  <si>
    <t xml:space="preserve"> so that I can ensure all plan review tasks are completed, results have been sent to the Applicant and any downstream steps are initiated such has a final review or payment for permit issuance.</t>
  </si>
  <si>
    <t>plan review task</t>
  </si>
  <si>
    <t>G-48</t>
  </si>
  <si>
    <t>As a Plan Review Staff member, I want to Track the Completion of Required Plan Reviews.</t>
  </si>
  <si>
    <t>completion of require plan review</t>
  </si>
  <si>
    <t>B-74</t>
  </si>
  <si>
    <t>result</t>
  </si>
  <si>
    <t>B-75</t>
  </si>
  <si>
    <t>any downstream step</t>
  </si>
  <si>
    <t>G-49</t>
  </si>
  <si>
    <t>As a Development Staff member, I want to Issue a Development-related Permit.</t>
  </si>
  <si>
    <t>development staff member</t>
  </si>
  <si>
    <t>development - relate permit</t>
  </si>
  <si>
    <t>B-76</t>
  </si>
  <si>
    <t xml:space="preserve"> so that I can grant the request to the Applicant to begin work</t>
  </si>
  <si>
    <t>B-77</t>
  </si>
  <si>
    <t>G-50</t>
  </si>
  <si>
    <t>As a Staff member, I want to Manage Bonds.</t>
  </si>
  <si>
    <t>bond</t>
  </si>
  <si>
    <t>B-78</t>
  </si>
  <si>
    <t xml:space="preserve"> so that I can track and manage bonds throughout the lifecycle of the project until release.</t>
  </si>
  <si>
    <t>B-79</t>
  </si>
  <si>
    <t>G-51</t>
  </si>
  <si>
    <t>As an Applicant, I want to Complete Building Development Project.</t>
  </si>
  <si>
    <t>building development project</t>
  </si>
  <si>
    <t>B-80</t>
  </si>
  <si>
    <t xml:space="preserve"> so that I can receive any posted bond and/or obtain occupancy.</t>
  </si>
  <si>
    <t>any post bond</t>
  </si>
  <si>
    <t>B-81</t>
  </si>
  <si>
    <t>G-52</t>
  </si>
  <si>
    <t>As a Customer, I want to Request Inspection.</t>
  </si>
  <si>
    <t>B-82</t>
  </si>
  <si>
    <t xml:space="preserve"> so that a County inspector is assigned to perform an inspection of my project.</t>
  </si>
  <si>
    <t>B-83</t>
  </si>
  <si>
    <t>county inspector</t>
  </si>
  <si>
    <t>G-53</t>
  </si>
  <si>
    <t>As an Inspection Staff member, I want to Create an Inspection.</t>
  </si>
  <si>
    <t>inspection staff member</t>
  </si>
  <si>
    <t>B-84</t>
  </si>
  <si>
    <t xml:space="preserve"> so that I can schedule and assign the inspection.</t>
  </si>
  <si>
    <t>B-85</t>
  </si>
  <si>
    <t>G-54</t>
  </si>
  <si>
    <t>As an Inspection Staff Supervisor, I want to Assign Inspections.</t>
  </si>
  <si>
    <t>inspection staff supervisor</t>
  </si>
  <si>
    <t>G-55</t>
  </si>
  <si>
    <t>As an Inspection Supervisor, I want to Manage Inspector Workload.</t>
  </si>
  <si>
    <t>inspection supervisor</t>
  </si>
  <si>
    <t>inspector workload</t>
  </si>
  <si>
    <t>B-86</t>
  </si>
  <si>
    <t xml:space="preserve"> so that I can meet service level and quality requirements.</t>
  </si>
  <si>
    <t>quality requirement</t>
  </si>
  <si>
    <t>B-87</t>
  </si>
  <si>
    <t>G-56</t>
  </si>
  <si>
    <t>As an Inspector, I want to Conduct Inspections.</t>
  </si>
  <si>
    <t>inspector</t>
  </si>
  <si>
    <t>B-88</t>
  </si>
  <si>
    <t xml:space="preserve"> so that I can validate Customer compliance with code and regulations and provide results of the inspection to the Customer.</t>
  </si>
  <si>
    <t>customer compliance</t>
  </si>
  <si>
    <t>B-89</t>
  </si>
  <si>
    <t>G-57</t>
  </si>
  <si>
    <t>B-90</t>
  </si>
  <si>
    <t>B-91</t>
  </si>
  <si>
    <t>G-58</t>
  </si>
  <si>
    <t>As an Enforcement Staff member, I want to Issue a Notice of Violation.</t>
  </si>
  <si>
    <t>enforcement staff member</t>
  </si>
  <si>
    <t>notice of violation</t>
  </si>
  <si>
    <t>B-92</t>
  </si>
  <si>
    <t xml:space="preserve"> so that I can provide formal communication to the responsible party.</t>
  </si>
  <si>
    <t>G-59</t>
  </si>
  <si>
    <t>As a l Staff member, I want to search for Property information.</t>
  </si>
  <si>
    <t>property information</t>
  </si>
  <si>
    <t>B-93</t>
  </si>
  <si>
    <t xml:space="preserve"> so that I can obtain all associated current and historic owners, permits, and applications.</t>
  </si>
  <si>
    <t>associate current and historic owner</t>
  </si>
  <si>
    <t>B-94</t>
  </si>
  <si>
    <t>B-95</t>
  </si>
  <si>
    <t>B-96</t>
  </si>
  <si>
    <t xml:space="preserve"> so that I can ensure that I am reviewing the permit/application to the most current data and appropriate standards.</t>
  </si>
  <si>
    <t>B-97</t>
  </si>
  <si>
    <t>G-60</t>
  </si>
  <si>
    <t>As a Staff member, I need to be notified when Geospatial attributes change.</t>
  </si>
  <si>
    <t>be notify</t>
  </si>
  <si>
    <t>G-61</t>
  </si>
  <si>
    <t>As a County Staff Member, I want to create a custom query/report outside of the common querying/reporting functionality.</t>
  </si>
  <si>
    <t>county staff member</t>
  </si>
  <si>
    <t>custom query / report</t>
  </si>
  <si>
    <t>B-98</t>
  </si>
  <si>
    <t xml:space="preserve"> so that I can fulfill a request.</t>
  </si>
  <si>
    <t>B-99</t>
  </si>
  <si>
    <t xml:space="preserve"> so that I can associate it to the child parcel and address after the condominiums are recorded in the system.</t>
  </si>
  <si>
    <t>B-100</t>
  </si>
  <si>
    <t>condominium</t>
  </si>
  <si>
    <t>G-62</t>
  </si>
  <si>
    <t>As a Staff member, I want to create each condo unit.</t>
  </si>
  <si>
    <t>G-63</t>
  </si>
  <si>
    <t>As a Technical Staff member, I want to update the GIS Property Management.</t>
  </si>
  <si>
    <t>technical staff member</t>
  </si>
  <si>
    <t>gis property management</t>
  </si>
  <si>
    <t>B-101</t>
  </si>
  <si>
    <t xml:space="preserve"> so that I can successfully update the transactional Parcel Pin to reference the GIS layer where the Split or Merged Parcel Pin exists.</t>
  </si>
  <si>
    <t>transactional parcel pin</t>
  </si>
  <si>
    <t>B-102</t>
  </si>
  <si>
    <t>gis layer</t>
  </si>
  <si>
    <t>G-64</t>
  </si>
  <si>
    <t>As a Staff member, I want to Send or Post Citations and Fines.</t>
  </si>
  <si>
    <t>citation</t>
  </si>
  <si>
    <t>G-65</t>
  </si>
  <si>
    <t>post</t>
  </si>
  <si>
    <t>G-66</t>
  </si>
  <si>
    <t>fine</t>
  </si>
  <si>
    <t>G-67</t>
  </si>
  <si>
    <t>B-103</t>
  </si>
  <si>
    <t xml:space="preserve"> so that I can successfully send the Notice Of Violation document to the property owner and log information about the action.</t>
  </si>
  <si>
    <t>notice of violation document</t>
  </si>
  <si>
    <t>B-104</t>
  </si>
  <si>
    <t>Modified</t>
  </si>
  <si>
    <t>As a ProspectiveApplicant, I want to research requirements.</t>
  </si>
  <si>
    <t>X</t>
  </si>
  <si>
    <t>As a ProspectiveApplicant, I want to select a service.</t>
  </si>
  <si>
    <t>As a Planning Staff member, I want to rack Plan Amendments.</t>
  </si>
  <si>
    <t>As a Planning Staff member, I want to Track Planning Studies.</t>
  </si>
  <si>
    <t>As a Planning Staff member, I want to Conduct Plan Amendments.</t>
  </si>
  <si>
    <t>As a Planning Staff member, I want to Conduct Planning Studies.</t>
  </si>
  <si>
    <t>As a Staff member, I want to Support Hearing Execution.</t>
  </si>
  <si>
    <t>As a Staff member, I want to Prepare for Hearing Execution.</t>
  </si>
  <si>
    <t>As a Plan Review Staff member, I want to successfully Conduct a Plan Review Meeting with the Applicant.</t>
  </si>
  <si>
    <t>As a Plan Review Staff member, I want to record the outcome.</t>
  </si>
  <si>
    <t>As a Staff member, I want to Send Citations.</t>
  </si>
  <si>
    <t>As a Staff member, I want to Post Citations.</t>
  </si>
  <si>
    <t>As a Staff member, I want to Post Fines.</t>
  </si>
  <si>
    <t>As a Staff member, I want to Send Fines.</t>
  </si>
  <si>
    <t>User Story</t>
  </si>
  <si>
    <t>Action</t>
  </si>
  <si>
    <t>Mapped</t>
  </si>
  <si>
    <t>Majority Decision</t>
  </si>
  <si>
    <t xml:space="preserve">context mit nehmen (mit für die Eval nehmen) </t>
  </si>
  <si>
    <t>wir könnten auch nur mal anschauen wie die Verbs gematched werden</t>
  </si>
  <si>
    <t>r</t>
  </si>
  <si>
    <t>c</t>
  </si>
  <si>
    <t>u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</si>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</sst>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"/>
  <sheetViews>
    <sheetView workbookViewId="0">
      <selection activeCell="A7" sqref="A7"/>
    </sheetView>
  </sheetViews>
  <sheetFormatPr defaultColWidth="8.7265625" defaultRowHeight="14.5" x14ac:dyDescent="0.35"/>
  <sheetData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0"/>
  <sheetViews>
    <sheetView zoomScale="190" zoomScaleNormal="190" workbookViewId="0">
      <selection activeCell="C3" sqref="C3"/>
    </sheetView>
  </sheetViews>
  <sheetFormatPr defaultColWidth="8.7265625" defaultRowHeight="14.5" x14ac:dyDescent="0.35"/>
  <cols>
    <col min="1" max="1" width="32.26953125" style="3" customWidth="1"/>
    <col min="2" max="6" width="13.54296875" customWidth="1"/>
    <col min="7" max="7" width="13.1796875" bestFit="1" customWidth="1"/>
    <col min="8" max="8" width="15.453125" bestFit="1" customWidth="1"/>
    <col min="9" max="9" width="13.1796875" bestFit="1" customWidth="1"/>
    <col min="10" max="10" width="14.1796875" bestFit="1" customWidth="1"/>
    <col min="11" max="11" width="17.1796875" bestFit="1" customWidth="1"/>
    <col min="12" max="12" width="32.453125" bestFit="1" customWidth="1"/>
    <col min="13" max="13" width="19.453125" bestFit="1" customWidth="1"/>
    <col min="14" max="14" width="19.7265625" bestFit="1" customWidth="1"/>
    <col min="15" max="24" width="19.7265625" customWidth="1"/>
  </cols>
  <sheetData>
    <row r="1" spans="1:24" x14ac:dyDescent="0.35">
      <c r="A1" s="7" t="s">
        <v>5</v>
      </c>
      <c r="B1" s="8"/>
      <c r="C1" s="7" t="s">
        <v>6</v>
      </c>
      <c r="D1" s="8"/>
      <c r="E1" s="8"/>
      <c r="F1" s="8"/>
      <c r="G1" s="8"/>
      <c r="H1" s="8"/>
      <c r="I1" s="8"/>
      <c r="J1" s="8"/>
      <c r="K1" s="9" t="s">
        <v>7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3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</row>
    <row r="3" spans="1:24" ht="105" customHeight="1" x14ac:dyDescent="0.35">
      <c r="A3" s="6" t="s">
        <v>32</v>
      </c>
      <c r="B3" s="6" t="s">
        <v>33</v>
      </c>
      <c r="C3" s="6" t="s">
        <v>34</v>
      </c>
      <c r="D3" s="6" t="s">
        <v>35</v>
      </c>
      <c r="E3" s="6"/>
      <c r="F3" s="6"/>
      <c r="G3" s="6"/>
      <c r="H3" s="6"/>
      <c r="I3" s="6"/>
      <c r="J3" s="6"/>
      <c r="K3" s="6" t="s">
        <v>36</v>
      </c>
      <c r="L3" s="6" t="s">
        <v>37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90" customHeight="1" x14ac:dyDescent="0.35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/>
      <c r="H4" s="6"/>
      <c r="I4" s="6"/>
      <c r="J4" s="6"/>
      <c r="K4" s="6" t="s">
        <v>44</v>
      </c>
      <c r="L4" s="6" t="s">
        <v>45</v>
      </c>
      <c r="M4" s="6" t="s">
        <v>44</v>
      </c>
      <c r="N4" s="6" t="s">
        <v>46</v>
      </c>
      <c r="O4" s="6" t="s">
        <v>47</v>
      </c>
      <c r="P4" s="6" t="s">
        <v>45</v>
      </c>
      <c r="Q4" s="6" t="s">
        <v>47</v>
      </c>
      <c r="R4" s="6" t="s">
        <v>46</v>
      </c>
      <c r="S4" s="6"/>
      <c r="T4" s="6"/>
      <c r="U4" s="6"/>
      <c r="V4" s="6"/>
      <c r="W4" s="6"/>
      <c r="X4" s="6"/>
    </row>
    <row r="5" spans="1:24" ht="90" customHeight="1" x14ac:dyDescent="0.35">
      <c r="A5" s="6" t="s">
        <v>48</v>
      </c>
      <c r="B5" s="6" t="s">
        <v>49</v>
      </c>
      <c r="C5" s="6" t="s">
        <v>50</v>
      </c>
      <c r="D5" s="6" t="s">
        <v>51</v>
      </c>
      <c r="E5" s="6"/>
      <c r="F5" s="6"/>
      <c r="G5" s="6"/>
      <c r="H5" s="6"/>
      <c r="I5" s="6"/>
      <c r="J5" s="6"/>
      <c r="K5" s="6" t="s">
        <v>52</v>
      </c>
      <c r="L5" s="6" t="s">
        <v>53</v>
      </c>
      <c r="M5" s="6" t="s">
        <v>52</v>
      </c>
      <c r="N5" s="6" t="s">
        <v>54</v>
      </c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90" customHeight="1" x14ac:dyDescent="0.35">
      <c r="A6" s="6" t="s">
        <v>55</v>
      </c>
      <c r="B6" s="6" t="s">
        <v>56</v>
      </c>
      <c r="C6" s="6" t="s">
        <v>57</v>
      </c>
      <c r="D6" s="6" t="s">
        <v>58</v>
      </c>
      <c r="E6" s="6"/>
      <c r="F6" s="6"/>
      <c r="G6" s="6"/>
      <c r="H6" s="6"/>
      <c r="I6" s="6"/>
      <c r="J6" s="6"/>
      <c r="K6" s="6" t="s">
        <v>59</v>
      </c>
      <c r="L6" s="6" t="s">
        <v>60</v>
      </c>
      <c r="M6" s="6" t="s">
        <v>61</v>
      </c>
      <c r="N6" s="6" t="s">
        <v>62</v>
      </c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75" customHeight="1" x14ac:dyDescent="0.35">
      <c r="A7" s="6" t="s">
        <v>63</v>
      </c>
      <c r="B7" s="6" t="s">
        <v>49</v>
      </c>
      <c r="C7" s="6" t="s">
        <v>64</v>
      </c>
      <c r="D7" s="6" t="s">
        <v>65</v>
      </c>
      <c r="E7" s="6"/>
      <c r="F7" s="6"/>
      <c r="G7" s="6"/>
      <c r="H7" s="6"/>
      <c r="I7" s="6"/>
      <c r="J7" s="6"/>
      <c r="K7" s="6" t="s">
        <v>66</v>
      </c>
      <c r="L7" s="6" t="s">
        <v>54</v>
      </c>
      <c r="M7" s="6" t="s">
        <v>66</v>
      </c>
      <c r="N7" s="6" t="s">
        <v>67</v>
      </c>
      <c r="O7" s="6" t="s">
        <v>66</v>
      </c>
      <c r="P7" s="6" t="s">
        <v>68</v>
      </c>
      <c r="Q7" s="6" t="s">
        <v>47</v>
      </c>
      <c r="R7" s="6" t="s">
        <v>69</v>
      </c>
      <c r="S7" s="6"/>
      <c r="T7" s="6"/>
      <c r="U7" s="6"/>
      <c r="V7" s="6"/>
      <c r="W7" s="6"/>
      <c r="X7" s="6"/>
    </row>
    <row r="8" spans="1:24" ht="60" customHeight="1" x14ac:dyDescent="0.35">
      <c r="A8" s="6" t="s">
        <v>70</v>
      </c>
      <c r="B8" s="6" t="s">
        <v>49</v>
      </c>
      <c r="C8" s="6" t="s">
        <v>64</v>
      </c>
      <c r="D8" s="6" t="s">
        <v>71</v>
      </c>
      <c r="E8" s="6"/>
      <c r="F8" s="6"/>
      <c r="G8" s="6"/>
      <c r="H8" s="6"/>
      <c r="I8" s="6"/>
      <c r="J8" s="6"/>
      <c r="K8" s="6" t="s">
        <v>72</v>
      </c>
      <c r="L8" s="6" t="s">
        <v>73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75" customHeight="1" x14ac:dyDescent="0.35">
      <c r="A9" s="6" t="s">
        <v>74</v>
      </c>
      <c r="B9" s="6" t="s">
        <v>49</v>
      </c>
      <c r="C9" s="6" t="s">
        <v>75</v>
      </c>
      <c r="D9" s="6" t="s">
        <v>76</v>
      </c>
      <c r="E9" s="6"/>
      <c r="F9" s="6"/>
      <c r="G9" s="6"/>
      <c r="H9" s="6"/>
      <c r="I9" s="6"/>
      <c r="J9" s="6"/>
      <c r="K9" s="6" t="s">
        <v>72</v>
      </c>
      <c r="L9" s="6" t="s">
        <v>77</v>
      </c>
      <c r="M9" s="6" t="s">
        <v>78</v>
      </c>
      <c r="N9" s="6" t="s">
        <v>79</v>
      </c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20" customHeight="1" x14ac:dyDescent="0.35">
      <c r="A10" s="6" t="s">
        <v>80</v>
      </c>
      <c r="B10" s="6" t="s">
        <v>49</v>
      </c>
      <c r="C10" s="6" t="s">
        <v>81</v>
      </c>
      <c r="D10" s="6" t="s">
        <v>82</v>
      </c>
      <c r="E10" s="6"/>
      <c r="F10" s="6"/>
      <c r="G10" s="6"/>
      <c r="H10" s="6"/>
      <c r="I10" s="6"/>
      <c r="J10" s="6"/>
      <c r="K10" s="6" t="s">
        <v>83</v>
      </c>
      <c r="L10" s="6" t="s">
        <v>43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60" customHeight="1" x14ac:dyDescent="0.35">
      <c r="A11" s="6" t="s">
        <v>84</v>
      </c>
      <c r="B11" s="6" t="s">
        <v>49</v>
      </c>
      <c r="C11" s="6" t="s">
        <v>85</v>
      </c>
      <c r="D11" s="6" t="s">
        <v>65</v>
      </c>
      <c r="E11" s="6"/>
      <c r="F11" s="6"/>
      <c r="G11" s="6"/>
      <c r="H11" s="6"/>
      <c r="I11" s="6"/>
      <c r="J11" s="6"/>
      <c r="K11" s="6" t="s">
        <v>86</v>
      </c>
      <c r="L11" s="6" t="s">
        <v>54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90" customHeight="1" x14ac:dyDescent="0.35">
      <c r="A12" s="6" t="s">
        <v>87</v>
      </c>
      <c r="B12" s="6" t="s">
        <v>88</v>
      </c>
      <c r="C12" s="6" t="s">
        <v>89</v>
      </c>
      <c r="D12" s="6" t="s">
        <v>90</v>
      </c>
      <c r="E12" s="6"/>
      <c r="F12" s="6"/>
      <c r="G12" s="6"/>
      <c r="H12" s="6"/>
      <c r="I12" s="6"/>
      <c r="J12" s="6"/>
      <c r="K12" s="6" t="s">
        <v>91</v>
      </c>
      <c r="L12" s="6" t="s">
        <v>92</v>
      </c>
      <c r="M12" s="6" t="s">
        <v>91</v>
      </c>
      <c r="N12" s="6" t="s">
        <v>93</v>
      </c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60" customHeight="1" x14ac:dyDescent="0.35">
      <c r="A13" s="6" t="s">
        <v>94</v>
      </c>
      <c r="B13" s="6" t="s">
        <v>88</v>
      </c>
      <c r="C13" s="6" t="s">
        <v>95</v>
      </c>
      <c r="D13" s="6" t="s">
        <v>96</v>
      </c>
      <c r="E13" s="6"/>
      <c r="F13" s="6"/>
      <c r="G13" s="6"/>
      <c r="H13" s="6"/>
      <c r="I13" s="6"/>
      <c r="J13" s="6"/>
      <c r="K13" s="6" t="s">
        <v>97</v>
      </c>
      <c r="L13" s="6" t="s">
        <v>54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75" customHeight="1" x14ac:dyDescent="0.35">
      <c r="A14" s="6" t="s">
        <v>98</v>
      </c>
      <c r="B14" s="6" t="s">
        <v>88</v>
      </c>
      <c r="C14" s="6" t="s">
        <v>99</v>
      </c>
      <c r="D14" s="6" t="s">
        <v>65</v>
      </c>
      <c r="E14" s="6"/>
      <c r="F14" s="6"/>
      <c r="G14" s="6"/>
      <c r="H14" s="6"/>
      <c r="I14" s="6"/>
      <c r="J14" s="6"/>
      <c r="K14" s="6" t="s">
        <v>100</v>
      </c>
      <c r="L14" s="6" t="s">
        <v>101</v>
      </c>
      <c r="M14" s="6" t="s">
        <v>102</v>
      </c>
      <c r="N14" s="6" t="s">
        <v>101</v>
      </c>
      <c r="O14" s="6" t="s">
        <v>103</v>
      </c>
      <c r="P14" s="6" t="s">
        <v>101</v>
      </c>
      <c r="Q14" s="6"/>
      <c r="R14" s="6"/>
      <c r="S14" s="6"/>
      <c r="T14" s="6"/>
      <c r="U14" s="6"/>
      <c r="V14" s="6"/>
      <c r="W14" s="6"/>
      <c r="X14" s="6"/>
    </row>
    <row r="15" spans="1:24" ht="75" customHeight="1" x14ac:dyDescent="0.35">
      <c r="A15" s="6" t="s">
        <v>104</v>
      </c>
      <c r="B15" s="6" t="s">
        <v>88</v>
      </c>
      <c r="C15" s="6" t="s">
        <v>105</v>
      </c>
      <c r="D15" s="6" t="s">
        <v>106</v>
      </c>
      <c r="E15" s="6"/>
      <c r="F15" s="6"/>
      <c r="G15" s="6"/>
      <c r="H15" s="6"/>
      <c r="I15" s="6"/>
      <c r="J15" s="6"/>
      <c r="K15" s="6" t="s">
        <v>107</v>
      </c>
      <c r="L15" s="6" t="s">
        <v>108</v>
      </c>
      <c r="M15" s="6" t="s">
        <v>107</v>
      </c>
      <c r="N15" s="6" t="s">
        <v>109</v>
      </c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75" customHeight="1" x14ac:dyDescent="0.35">
      <c r="A16" s="6" t="s">
        <v>110</v>
      </c>
      <c r="B16" s="6" t="s">
        <v>88</v>
      </c>
      <c r="C16" s="6" t="s">
        <v>111</v>
      </c>
      <c r="D16" s="6" t="s">
        <v>106</v>
      </c>
      <c r="E16" s="6"/>
      <c r="F16" s="6"/>
      <c r="G16" s="6"/>
      <c r="H16" s="6"/>
      <c r="I16" s="6"/>
      <c r="J16" s="6"/>
      <c r="K16" s="6" t="s">
        <v>112</v>
      </c>
      <c r="L16" s="6" t="s">
        <v>108</v>
      </c>
      <c r="M16" s="6" t="s">
        <v>113</v>
      </c>
      <c r="N16" s="6" t="s">
        <v>114</v>
      </c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60" customHeight="1" x14ac:dyDescent="0.35">
      <c r="A17" s="6" t="s">
        <v>115</v>
      </c>
      <c r="B17" s="6" t="s">
        <v>88</v>
      </c>
      <c r="C17" s="6" t="s">
        <v>116</v>
      </c>
      <c r="D17" s="6" t="s">
        <v>117</v>
      </c>
      <c r="E17" s="6"/>
      <c r="F17" s="6"/>
      <c r="G17" s="6"/>
      <c r="H17" s="6"/>
      <c r="I17" s="6"/>
      <c r="J17" s="6"/>
      <c r="K17" s="6" t="s">
        <v>72</v>
      </c>
      <c r="L17" s="6" t="s">
        <v>118</v>
      </c>
      <c r="M17" s="6" t="s">
        <v>72</v>
      </c>
      <c r="N17" s="6" t="s">
        <v>119</v>
      </c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75" customHeight="1" x14ac:dyDescent="0.35">
      <c r="A18" s="6" t="s">
        <v>120</v>
      </c>
      <c r="B18" s="6" t="s">
        <v>88</v>
      </c>
      <c r="C18" s="6" t="s">
        <v>121</v>
      </c>
      <c r="D18" s="6" t="s">
        <v>122</v>
      </c>
      <c r="E18" s="6"/>
      <c r="F18" s="6"/>
      <c r="G18" s="6"/>
      <c r="H18" s="6"/>
      <c r="I18" s="6"/>
      <c r="J18" s="6"/>
      <c r="K18" s="6" t="s">
        <v>123</v>
      </c>
      <c r="L18" s="6" t="s">
        <v>124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75" customHeight="1" x14ac:dyDescent="0.35">
      <c r="A19" s="6" t="s">
        <v>125</v>
      </c>
      <c r="B19" s="6" t="s">
        <v>88</v>
      </c>
      <c r="C19" s="6" t="s">
        <v>126</v>
      </c>
      <c r="D19" s="6" t="s">
        <v>127</v>
      </c>
      <c r="E19" s="6"/>
      <c r="F19" s="6"/>
      <c r="G19" s="6"/>
      <c r="H19" s="6"/>
      <c r="I19" s="6"/>
      <c r="J19" s="6"/>
      <c r="K19" s="6" t="s">
        <v>128</v>
      </c>
      <c r="L19" s="6" t="s">
        <v>101</v>
      </c>
      <c r="M19" s="6" t="s">
        <v>128</v>
      </c>
      <c r="N19" s="6" t="s">
        <v>129</v>
      </c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60" customHeight="1" x14ac:dyDescent="0.35">
      <c r="A20" s="6" t="s">
        <v>130</v>
      </c>
      <c r="B20" s="6" t="s">
        <v>88</v>
      </c>
      <c r="C20" s="6" t="s">
        <v>126</v>
      </c>
      <c r="D20" s="6" t="s">
        <v>131</v>
      </c>
      <c r="E20" s="6"/>
      <c r="F20" s="6"/>
      <c r="G20" s="6"/>
      <c r="H20" s="6"/>
      <c r="I20" s="6"/>
      <c r="J20" s="6"/>
      <c r="K20" s="6" t="s">
        <v>132</v>
      </c>
      <c r="L20" s="6" t="s">
        <v>133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75" customHeight="1" x14ac:dyDescent="0.35">
      <c r="A21" s="6" t="s">
        <v>134</v>
      </c>
      <c r="B21" s="6" t="s">
        <v>88</v>
      </c>
      <c r="C21" s="6" t="s">
        <v>135</v>
      </c>
      <c r="D21" s="6" t="s">
        <v>136</v>
      </c>
      <c r="E21" s="6"/>
      <c r="F21" s="6"/>
      <c r="G21" s="6"/>
      <c r="H21" s="6"/>
      <c r="I21" s="6"/>
      <c r="J21" s="6"/>
      <c r="K21" s="6" t="s">
        <v>137</v>
      </c>
      <c r="L21" s="6" t="s">
        <v>138</v>
      </c>
      <c r="M21" s="6" t="s">
        <v>139</v>
      </c>
      <c r="N21" s="6" t="s">
        <v>114</v>
      </c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45" customHeight="1" x14ac:dyDescent="0.35">
      <c r="A22" s="6" t="s">
        <v>140</v>
      </c>
      <c r="B22" s="6" t="s">
        <v>141</v>
      </c>
      <c r="C22" s="6" t="s">
        <v>142</v>
      </c>
      <c r="D22" s="6" t="s">
        <v>93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05" customHeight="1" x14ac:dyDescent="0.35">
      <c r="A23" s="6" t="s">
        <v>143</v>
      </c>
      <c r="B23" s="6" t="s">
        <v>144</v>
      </c>
      <c r="C23" s="6" t="s">
        <v>121</v>
      </c>
      <c r="D23" s="6" t="s">
        <v>145</v>
      </c>
      <c r="E23" s="6" t="s">
        <v>121</v>
      </c>
      <c r="F23" s="6" t="s">
        <v>146</v>
      </c>
      <c r="G23" s="6" t="s">
        <v>147</v>
      </c>
      <c r="H23" s="6" t="s">
        <v>145</v>
      </c>
      <c r="I23" s="6" t="s">
        <v>147</v>
      </c>
      <c r="J23" s="6" t="s">
        <v>146</v>
      </c>
      <c r="K23" s="6" t="s">
        <v>148</v>
      </c>
      <c r="L23" s="6" t="s">
        <v>149</v>
      </c>
      <c r="M23" s="6" t="s">
        <v>148</v>
      </c>
      <c r="N23" s="6" t="s">
        <v>150</v>
      </c>
      <c r="O23" s="6" t="s">
        <v>148</v>
      </c>
      <c r="P23" s="6" t="s">
        <v>151</v>
      </c>
      <c r="Q23" s="6"/>
      <c r="R23" s="6"/>
      <c r="S23" s="6"/>
      <c r="T23" s="6"/>
      <c r="U23" s="6"/>
      <c r="V23" s="6"/>
      <c r="W23" s="6"/>
      <c r="X23" s="6"/>
    </row>
    <row r="24" spans="1:24" ht="90" customHeight="1" x14ac:dyDescent="0.35">
      <c r="A24" s="6" t="s">
        <v>152</v>
      </c>
      <c r="B24" s="6" t="s">
        <v>144</v>
      </c>
      <c r="C24" s="6" t="s">
        <v>153</v>
      </c>
      <c r="D24" s="6" t="s">
        <v>154</v>
      </c>
      <c r="E24" s="6"/>
      <c r="F24" s="6"/>
      <c r="G24" s="6"/>
      <c r="H24" s="6"/>
      <c r="I24" s="6"/>
      <c r="J24" s="6"/>
      <c r="K24" s="6" t="s">
        <v>155</v>
      </c>
      <c r="L24" s="6" t="s">
        <v>156</v>
      </c>
      <c r="M24" s="6" t="s">
        <v>157</v>
      </c>
      <c r="N24" s="6" t="s">
        <v>156</v>
      </c>
      <c r="O24" s="6" t="s">
        <v>158</v>
      </c>
      <c r="P24" s="6" t="s">
        <v>156</v>
      </c>
      <c r="Q24" s="6"/>
      <c r="R24" s="6"/>
      <c r="S24" s="6"/>
      <c r="T24" s="6"/>
      <c r="U24" s="6"/>
      <c r="V24" s="6"/>
      <c r="W24" s="6"/>
      <c r="X24" s="6"/>
    </row>
    <row r="25" spans="1:24" ht="75" customHeight="1" x14ac:dyDescent="0.35">
      <c r="A25" s="6" t="s">
        <v>159</v>
      </c>
      <c r="B25" s="6" t="s">
        <v>144</v>
      </c>
      <c r="C25" s="6" t="s">
        <v>160</v>
      </c>
      <c r="D25" s="6" t="s">
        <v>161</v>
      </c>
      <c r="E25" s="6"/>
      <c r="F25" s="6"/>
      <c r="G25" s="6"/>
      <c r="H25" s="6"/>
      <c r="I25" s="6"/>
      <c r="J25" s="6"/>
      <c r="K25" s="6" t="s">
        <v>162</v>
      </c>
      <c r="L25" s="6" t="s">
        <v>163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05" customHeight="1" x14ac:dyDescent="0.35">
      <c r="A26" s="6" t="s">
        <v>164</v>
      </c>
      <c r="B26" s="6" t="s">
        <v>88</v>
      </c>
      <c r="C26" s="6" t="s">
        <v>89</v>
      </c>
      <c r="D26" s="6" t="s">
        <v>165</v>
      </c>
      <c r="E26" s="6"/>
      <c r="F26" s="6"/>
      <c r="G26" s="6"/>
      <c r="H26" s="6"/>
      <c r="I26" s="6"/>
      <c r="J26" s="6"/>
      <c r="K26" s="6" t="s">
        <v>91</v>
      </c>
      <c r="L26" s="6" t="s">
        <v>101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05" customHeight="1" x14ac:dyDescent="0.35">
      <c r="A27" s="6" t="s">
        <v>166</v>
      </c>
      <c r="B27" s="6" t="s">
        <v>167</v>
      </c>
      <c r="C27" s="6" t="s">
        <v>168</v>
      </c>
      <c r="D27" s="6" t="s">
        <v>169</v>
      </c>
      <c r="E27" s="6"/>
      <c r="F27" s="6"/>
      <c r="G27" s="6"/>
      <c r="H27" s="6"/>
      <c r="I27" s="6"/>
      <c r="J27" s="6"/>
      <c r="K27" s="6" t="s">
        <v>170</v>
      </c>
      <c r="L27" s="6" t="s">
        <v>53</v>
      </c>
      <c r="M27" s="6" t="s">
        <v>171</v>
      </c>
      <c r="N27" s="6" t="s">
        <v>118</v>
      </c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90" customHeight="1" x14ac:dyDescent="0.35">
      <c r="A28" s="6" t="s">
        <v>172</v>
      </c>
      <c r="B28" s="6" t="s">
        <v>167</v>
      </c>
      <c r="C28" s="6" t="s">
        <v>173</v>
      </c>
      <c r="D28" s="6" t="s">
        <v>174</v>
      </c>
      <c r="E28" s="6"/>
      <c r="F28" s="6"/>
      <c r="G28" s="6"/>
      <c r="H28" s="6"/>
      <c r="I28" s="6"/>
      <c r="J28" s="6"/>
      <c r="K28" s="6" t="s">
        <v>72</v>
      </c>
      <c r="L28" s="6" t="s">
        <v>175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60" customHeight="1" x14ac:dyDescent="0.35">
      <c r="A29" s="6" t="s">
        <v>176</v>
      </c>
      <c r="B29" s="6" t="s">
        <v>88</v>
      </c>
      <c r="C29" s="6" t="s">
        <v>177</v>
      </c>
      <c r="D29" s="6" t="s">
        <v>178</v>
      </c>
      <c r="E29" s="6"/>
      <c r="F29" s="6"/>
      <c r="G29" s="6"/>
      <c r="H29" s="6"/>
      <c r="I29" s="6"/>
      <c r="J29" s="6"/>
      <c r="K29" s="6" t="s">
        <v>179</v>
      </c>
      <c r="L29" s="6" t="s">
        <v>180</v>
      </c>
      <c r="M29" s="6" t="s">
        <v>181</v>
      </c>
      <c r="N29" s="6" t="s">
        <v>180</v>
      </c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60" customHeight="1" x14ac:dyDescent="0.35">
      <c r="A30" s="6" t="s">
        <v>182</v>
      </c>
      <c r="B30" s="6" t="s">
        <v>88</v>
      </c>
      <c r="C30" s="6" t="s">
        <v>126</v>
      </c>
      <c r="D30" s="6" t="s">
        <v>183</v>
      </c>
      <c r="E30" s="6"/>
      <c r="F30" s="6"/>
      <c r="G30" s="6"/>
      <c r="H30" s="6"/>
      <c r="I30" s="6"/>
      <c r="J30" s="6"/>
      <c r="K30" s="6" t="s">
        <v>184</v>
      </c>
      <c r="L30" s="6" t="s">
        <v>185</v>
      </c>
      <c r="M30" s="6" t="s">
        <v>184</v>
      </c>
      <c r="N30" s="6" t="s">
        <v>186</v>
      </c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05" customHeight="1" x14ac:dyDescent="0.35">
      <c r="A31" s="6" t="s">
        <v>187</v>
      </c>
      <c r="B31" s="6" t="s">
        <v>88</v>
      </c>
      <c r="C31" s="6" t="s">
        <v>99</v>
      </c>
      <c r="D31" s="6" t="s">
        <v>188</v>
      </c>
      <c r="E31" s="6"/>
      <c r="F31" s="6"/>
      <c r="G31" s="6"/>
      <c r="H31" s="6"/>
      <c r="I31" s="6"/>
      <c r="J31" s="6"/>
      <c r="K31" s="6" t="s">
        <v>189</v>
      </c>
      <c r="L31" s="6" t="s">
        <v>93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60" customHeight="1" x14ac:dyDescent="0.35">
      <c r="A32" s="6" t="s">
        <v>190</v>
      </c>
      <c r="B32" s="6" t="s">
        <v>88</v>
      </c>
      <c r="C32" s="6" t="s">
        <v>126</v>
      </c>
      <c r="D32" s="6" t="s">
        <v>191</v>
      </c>
      <c r="E32" s="6"/>
      <c r="F32" s="6"/>
      <c r="G32" s="6"/>
      <c r="H32" s="6"/>
      <c r="I32" s="6"/>
      <c r="J32" s="6"/>
      <c r="K32" s="6" t="s">
        <v>128</v>
      </c>
      <c r="L32" s="6" t="s">
        <v>101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75" customHeight="1" x14ac:dyDescent="0.35">
      <c r="A33" s="6" t="s">
        <v>192</v>
      </c>
      <c r="B33" s="6" t="s">
        <v>49</v>
      </c>
      <c r="C33" s="6" t="s">
        <v>193</v>
      </c>
      <c r="D33" s="6" t="s">
        <v>194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90" customHeight="1" x14ac:dyDescent="0.35">
      <c r="A34" s="6" t="s">
        <v>195</v>
      </c>
      <c r="B34" s="6" t="s">
        <v>88</v>
      </c>
      <c r="C34" s="6" t="s">
        <v>196</v>
      </c>
      <c r="D34" s="6" t="s">
        <v>197</v>
      </c>
      <c r="E34" s="6" t="s">
        <v>198</v>
      </c>
      <c r="F34" s="6" t="s">
        <v>197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45" customHeight="1" x14ac:dyDescent="0.35">
      <c r="A35" s="6" t="s">
        <v>199</v>
      </c>
      <c r="B35" s="6" t="s">
        <v>88</v>
      </c>
      <c r="C35" s="6" t="s">
        <v>200</v>
      </c>
      <c r="D35" s="6" t="s">
        <v>201</v>
      </c>
      <c r="E35" s="6"/>
      <c r="F35" s="6"/>
      <c r="G35" s="6"/>
      <c r="H35" s="6"/>
      <c r="I35" s="6"/>
      <c r="J35" s="6"/>
      <c r="K35" s="6" t="s">
        <v>202</v>
      </c>
      <c r="L35" s="6" t="s">
        <v>203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60" customHeight="1" x14ac:dyDescent="0.35">
      <c r="A36" s="6" t="s">
        <v>204</v>
      </c>
      <c r="B36" s="6" t="s">
        <v>88</v>
      </c>
      <c r="C36" s="6" t="s">
        <v>168</v>
      </c>
      <c r="D36" s="6" t="s">
        <v>205</v>
      </c>
      <c r="E36" s="6"/>
      <c r="F36" s="6"/>
      <c r="G36" s="6"/>
      <c r="H36" s="6"/>
      <c r="I36" s="6"/>
      <c r="J36" s="6"/>
      <c r="K36" s="6" t="s">
        <v>184</v>
      </c>
      <c r="L36" s="6" t="s">
        <v>150</v>
      </c>
      <c r="M36" s="6" t="s">
        <v>148</v>
      </c>
      <c r="N36" s="6" t="s">
        <v>206</v>
      </c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75" customHeight="1" x14ac:dyDescent="0.35">
      <c r="A37" s="6" t="s">
        <v>207</v>
      </c>
      <c r="B37" s="6" t="s">
        <v>208</v>
      </c>
      <c r="C37" s="6" t="s">
        <v>99</v>
      </c>
      <c r="D37" s="6" t="s">
        <v>209</v>
      </c>
      <c r="E37" s="6"/>
      <c r="F37" s="6"/>
      <c r="G37" s="6"/>
      <c r="H37" s="6"/>
      <c r="I37" s="6"/>
      <c r="J37" s="6"/>
      <c r="K37" s="6" t="s">
        <v>210</v>
      </c>
      <c r="L37" s="6" t="s">
        <v>67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90" customHeight="1" x14ac:dyDescent="0.35">
      <c r="A38" s="6" t="s">
        <v>211</v>
      </c>
      <c r="B38" s="6" t="s">
        <v>212</v>
      </c>
      <c r="C38" s="6" t="s">
        <v>126</v>
      </c>
      <c r="D38" s="6" t="s">
        <v>213</v>
      </c>
      <c r="E38" s="6"/>
      <c r="F38" s="6"/>
      <c r="G38" s="6"/>
      <c r="H38" s="6"/>
      <c r="I38" s="6"/>
      <c r="J38" s="6"/>
      <c r="K38" s="6" t="s">
        <v>214</v>
      </c>
      <c r="L38" s="6" t="s">
        <v>215</v>
      </c>
      <c r="M38" s="6" t="s">
        <v>216</v>
      </c>
      <c r="N38" s="6" t="s">
        <v>215</v>
      </c>
      <c r="O38" s="6" t="s">
        <v>217</v>
      </c>
      <c r="P38" s="6" t="s">
        <v>218</v>
      </c>
      <c r="Q38" s="6"/>
      <c r="R38" s="6"/>
      <c r="S38" s="6"/>
      <c r="T38" s="6"/>
      <c r="U38" s="6"/>
      <c r="V38" s="6"/>
      <c r="W38" s="6"/>
      <c r="X38" s="6"/>
    </row>
    <row r="39" spans="1:24" ht="60" customHeight="1" x14ac:dyDescent="0.35">
      <c r="A39" s="6" t="s">
        <v>219</v>
      </c>
      <c r="B39" s="6" t="s">
        <v>49</v>
      </c>
      <c r="C39" s="6" t="s">
        <v>50</v>
      </c>
      <c r="D39" s="6" t="s">
        <v>220</v>
      </c>
      <c r="E39" s="6"/>
      <c r="F39" s="6"/>
      <c r="G39" s="6"/>
      <c r="H39" s="6"/>
      <c r="I39" s="6"/>
      <c r="J39" s="6"/>
      <c r="K39" s="6" t="s">
        <v>221</v>
      </c>
      <c r="L39" s="6" t="s">
        <v>222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75" customHeight="1" x14ac:dyDescent="0.35">
      <c r="A40" s="6" t="s">
        <v>223</v>
      </c>
      <c r="B40" s="6" t="s">
        <v>208</v>
      </c>
      <c r="C40" s="6" t="s">
        <v>224</v>
      </c>
      <c r="D40" s="6" t="s">
        <v>220</v>
      </c>
      <c r="E40" s="6" t="s">
        <v>148</v>
      </c>
      <c r="F40" s="6" t="s">
        <v>150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05" customHeight="1" x14ac:dyDescent="0.35">
      <c r="A41" s="6" t="s">
        <v>225</v>
      </c>
      <c r="B41" s="6" t="s">
        <v>208</v>
      </c>
      <c r="C41" s="6" t="s">
        <v>226</v>
      </c>
      <c r="D41" s="6" t="s">
        <v>209</v>
      </c>
      <c r="E41" s="6"/>
      <c r="F41" s="6"/>
      <c r="G41" s="6"/>
      <c r="H41" s="6"/>
      <c r="I41" s="6"/>
      <c r="J41" s="6"/>
      <c r="K41" s="6" t="s">
        <v>100</v>
      </c>
      <c r="L41" s="6" t="s">
        <v>101</v>
      </c>
      <c r="M41" s="6" t="s">
        <v>227</v>
      </c>
      <c r="N41" s="6" t="s">
        <v>67</v>
      </c>
      <c r="O41" s="6" t="s">
        <v>228</v>
      </c>
      <c r="P41" s="6" t="s">
        <v>67</v>
      </c>
      <c r="Q41" s="6" t="s">
        <v>229</v>
      </c>
      <c r="R41" s="6" t="s">
        <v>67</v>
      </c>
      <c r="S41" s="6" t="s">
        <v>148</v>
      </c>
      <c r="T41" s="6" t="s">
        <v>230</v>
      </c>
      <c r="U41" s="6" t="s">
        <v>148</v>
      </c>
      <c r="V41" s="6" t="s">
        <v>231</v>
      </c>
      <c r="W41" s="6" t="s">
        <v>148</v>
      </c>
      <c r="X41" s="6" t="s">
        <v>232</v>
      </c>
    </row>
    <row r="42" spans="1:24" ht="45" customHeight="1" x14ac:dyDescent="0.35">
      <c r="A42" s="6" t="s">
        <v>233</v>
      </c>
      <c r="B42" s="6" t="s">
        <v>49</v>
      </c>
      <c r="C42" s="6" t="s">
        <v>234</v>
      </c>
      <c r="D42" s="6" t="s">
        <v>209</v>
      </c>
      <c r="E42" s="6"/>
      <c r="F42" s="6"/>
      <c r="G42" s="6"/>
      <c r="H42" s="6"/>
      <c r="I42" s="6"/>
      <c r="J42" s="6"/>
      <c r="K42" s="6" t="s">
        <v>100</v>
      </c>
      <c r="L42" s="6" t="s">
        <v>235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90" customHeight="1" x14ac:dyDescent="0.35">
      <c r="A43" s="6" t="s">
        <v>236</v>
      </c>
      <c r="B43" s="6" t="s">
        <v>237</v>
      </c>
      <c r="C43" s="6" t="s">
        <v>226</v>
      </c>
      <c r="D43" s="6" t="s">
        <v>238</v>
      </c>
      <c r="E43" s="6"/>
      <c r="F43" s="6"/>
      <c r="G43" s="6"/>
      <c r="H43" s="6"/>
      <c r="I43" s="6"/>
      <c r="J43" s="6"/>
      <c r="K43" s="6" t="s">
        <v>100</v>
      </c>
      <c r="L43" s="6" t="s">
        <v>239</v>
      </c>
      <c r="M43" s="6" t="s">
        <v>240</v>
      </c>
      <c r="N43" s="6" t="s">
        <v>239</v>
      </c>
      <c r="O43" s="6" t="s">
        <v>240</v>
      </c>
      <c r="P43" s="6" t="s">
        <v>241</v>
      </c>
      <c r="Q43" s="6"/>
      <c r="R43" s="6"/>
      <c r="S43" s="6"/>
      <c r="T43" s="6"/>
      <c r="U43" s="6"/>
      <c r="V43" s="6"/>
      <c r="W43" s="6"/>
      <c r="X43" s="6"/>
    </row>
    <row r="44" spans="1:24" ht="135" customHeight="1" x14ac:dyDescent="0.35">
      <c r="A44" s="6" t="s">
        <v>242</v>
      </c>
      <c r="B44" s="6" t="s">
        <v>208</v>
      </c>
      <c r="C44" s="6" t="s">
        <v>121</v>
      </c>
      <c r="D44" s="6" t="s">
        <v>243</v>
      </c>
      <c r="E44" s="6"/>
      <c r="F44" s="6"/>
      <c r="G44" s="6"/>
      <c r="H44" s="6"/>
      <c r="I44" s="6"/>
      <c r="J44" s="6"/>
      <c r="K44" s="6" t="s">
        <v>244</v>
      </c>
      <c r="L44" s="6" t="s">
        <v>245</v>
      </c>
      <c r="M44" s="6" t="s">
        <v>246</v>
      </c>
      <c r="N44" s="6" t="s">
        <v>247</v>
      </c>
      <c r="O44" s="6" t="s">
        <v>248</v>
      </c>
      <c r="P44" s="6" t="s">
        <v>249</v>
      </c>
      <c r="Q44" s="6"/>
      <c r="R44" s="6"/>
      <c r="S44" s="6"/>
      <c r="T44" s="6"/>
      <c r="U44" s="6"/>
      <c r="V44" s="6"/>
      <c r="W44" s="6"/>
      <c r="X44" s="6"/>
    </row>
    <row r="45" spans="1:24" ht="75" customHeight="1" x14ac:dyDescent="0.35">
      <c r="A45" s="6" t="s">
        <v>250</v>
      </c>
      <c r="B45" s="6" t="s">
        <v>251</v>
      </c>
      <c r="C45" s="6" t="s">
        <v>173</v>
      </c>
      <c r="D45" s="6" t="s">
        <v>252</v>
      </c>
      <c r="E45" s="6"/>
      <c r="F45" s="6"/>
      <c r="G45" s="6"/>
      <c r="H45" s="6"/>
      <c r="I45" s="6"/>
      <c r="J45" s="6"/>
      <c r="K45" s="6" t="s">
        <v>253</v>
      </c>
      <c r="L45" s="6" t="s">
        <v>239</v>
      </c>
      <c r="M45" s="6" t="s">
        <v>254</v>
      </c>
      <c r="N45" s="6" t="s">
        <v>255</v>
      </c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75" customHeight="1" x14ac:dyDescent="0.35">
      <c r="A46" s="6" t="s">
        <v>256</v>
      </c>
      <c r="B46" s="6" t="s">
        <v>88</v>
      </c>
      <c r="C46" s="6" t="s">
        <v>126</v>
      </c>
      <c r="D46" s="6" t="s">
        <v>257</v>
      </c>
      <c r="E46" s="6"/>
      <c r="F46" s="6"/>
      <c r="G46" s="6"/>
      <c r="H46" s="6"/>
      <c r="I46" s="6"/>
      <c r="J46" s="6"/>
      <c r="K46" s="6" t="s">
        <v>184</v>
      </c>
      <c r="L46" s="6" t="s">
        <v>258</v>
      </c>
      <c r="M46" s="6" t="s">
        <v>259</v>
      </c>
      <c r="N46" s="6" t="s">
        <v>258</v>
      </c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75" customHeight="1" x14ac:dyDescent="0.35">
      <c r="A47" s="6" t="s">
        <v>260</v>
      </c>
      <c r="B47" s="6" t="s">
        <v>49</v>
      </c>
      <c r="C47" s="6" t="s">
        <v>261</v>
      </c>
      <c r="D47" s="6" t="s">
        <v>262</v>
      </c>
      <c r="E47" s="6"/>
      <c r="F47" s="6"/>
      <c r="G47" s="6"/>
      <c r="H47" s="6"/>
      <c r="I47" s="6"/>
      <c r="J47" s="6"/>
      <c r="K47" s="6" t="s">
        <v>52</v>
      </c>
      <c r="L47" s="6" t="s">
        <v>263</v>
      </c>
      <c r="M47" s="6" t="s">
        <v>36</v>
      </c>
      <c r="N47" s="6" t="s">
        <v>264</v>
      </c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60" customHeight="1" x14ac:dyDescent="0.35">
      <c r="A48" s="6" t="s">
        <v>265</v>
      </c>
      <c r="B48" s="6" t="s">
        <v>56</v>
      </c>
      <c r="C48" s="6" t="s">
        <v>50</v>
      </c>
      <c r="D48" s="6" t="s">
        <v>266</v>
      </c>
      <c r="E48" s="6"/>
      <c r="F48" s="6"/>
      <c r="G48" s="6"/>
      <c r="H48" s="6"/>
      <c r="I48" s="6"/>
      <c r="J48" s="6"/>
      <c r="K48" s="6" t="s">
        <v>61</v>
      </c>
      <c r="L48" s="6" t="s">
        <v>267</v>
      </c>
      <c r="M48" s="6" t="s">
        <v>210</v>
      </c>
      <c r="N48" s="6" t="s">
        <v>268</v>
      </c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60" customHeight="1" x14ac:dyDescent="0.35">
      <c r="A49" s="6" t="s">
        <v>269</v>
      </c>
      <c r="B49" s="6" t="s">
        <v>270</v>
      </c>
      <c r="C49" s="6" t="s">
        <v>57</v>
      </c>
      <c r="D49" s="6" t="s">
        <v>266</v>
      </c>
      <c r="E49" s="6"/>
      <c r="F49" s="6"/>
      <c r="G49" s="6"/>
      <c r="H49" s="6"/>
      <c r="I49" s="6"/>
      <c r="J49" s="6"/>
      <c r="K49" s="6" t="s">
        <v>271</v>
      </c>
      <c r="L49" s="6" t="s">
        <v>267</v>
      </c>
      <c r="M49" s="6" t="s">
        <v>272</v>
      </c>
      <c r="N49" s="6" t="s">
        <v>267</v>
      </c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60" customHeight="1" x14ac:dyDescent="0.35">
      <c r="A50" s="6" t="s">
        <v>273</v>
      </c>
      <c r="B50" s="6" t="s">
        <v>274</v>
      </c>
      <c r="C50" s="6" t="s">
        <v>99</v>
      </c>
      <c r="D50" s="6" t="s">
        <v>275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60" customHeight="1" x14ac:dyDescent="0.35">
      <c r="A51" s="6" t="s">
        <v>276</v>
      </c>
      <c r="B51" s="6" t="s">
        <v>277</v>
      </c>
      <c r="C51" s="6" t="s">
        <v>126</v>
      </c>
      <c r="D51" s="6" t="s">
        <v>278</v>
      </c>
      <c r="E51" s="6"/>
      <c r="F51" s="6"/>
      <c r="G51" s="6"/>
      <c r="H51" s="6"/>
      <c r="I51" s="6"/>
      <c r="J51" s="6"/>
      <c r="K51" s="6" t="s">
        <v>221</v>
      </c>
      <c r="L51" s="6" t="s">
        <v>279</v>
      </c>
      <c r="M51" s="6" t="s">
        <v>221</v>
      </c>
      <c r="N51" s="6" t="s">
        <v>280</v>
      </c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90" customHeight="1" x14ac:dyDescent="0.35">
      <c r="A52" s="6" t="s">
        <v>281</v>
      </c>
      <c r="B52" s="6" t="s">
        <v>282</v>
      </c>
      <c r="C52" s="6" t="s">
        <v>147</v>
      </c>
      <c r="D52" s="6" t="s">
        <v>275</v>
      </c>
      <c r="E52" s="6"/>
      <c r="F52" s="6"/>
      <c r="G52" s="6"/>
      <c r="H52" s="6"/>
      <c r="I52" s="6"/>
      <c r="J52" s="6"/>
      <c r="K52" s="6" t="s">
        <v>91</v>
      </c>
      <c r="L52" s="6" t="s">
        <v>283</v>
      </c>
      <c r="M52" s="6" t="s">
        <v>66</v>
      </c>
      <c r="N52" s="6" t="s">
        <v>247</v>
      </c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90" customHeight="1" x14ac:dyDescent="0.35">
      <c r="A53" s="6" t="s">
        <v>281</v>
      </c>
      <c r="B53" s="6" t="s">
        <v>282</v>
      </c>
      <c r="C53" s="6" t="s">
        <v>147</v>
      </c>
      <c r="D53" s="6" t="s">
        <v>275</v>
      </c>
      <c r="E53" s="6"/>
      <c r="F53" s="6"/>
      <c r="G53" s="6"/>
      <c r="H53" s="6"/>
      <c r="I53" s="6"/>
      <c r="J53" s="6"/>
      <c r="K53" s="6" t="s">
        <v>91</v>
      </c>
      <c r="L53" s="6" t="s">
        <v>283</v>
      </c>
      <c r="M53" s="6" t="s">
        <v>66</v>
      </c>
      <c r="N53" s="6" t="s">
        <v>247</v>
      </c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75" customHeight="1" x14ac:dyDescent="0.35">
      <c r="A54" s="6" t="s">
        <v>284</v>
      </c>
      <c r="B54" s="6" t="s">
        <v>285</v>
      </c>
      <c r="C54" s="6" t="s">
        <v>173</v>
      </c>
      <c r="D54" s="6" t="s">
        <v>286</v>
      </c>
      <c r="E54" s="6"/>
      <c r="F54" s="6"/>
      <c r="G54" s="6"/>
      <c r="H54" s="6"/>
      <c r="I54" s="6"/>
      <c r="J54" s="6"/>
      <c r="K54" s="6" t="s">
        <v>66</v>
      </c>
      <c r="L54" s="6" t="s">
        <v>287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75" customHeight="1" x14ac:dyDescent="0.35">
      <c r="A55" s="6" t="s">
        <v>288</v>
      </c>
      <c r="B55" s="6" t="s">
        <v>88</v>
      </c>
      <c r="C55" s="6" t="s">
        <v>289</v>
      </c>
      <c r="D55" s="6" t="s">
        <v>290</v>
      </c>
      <c r="E55" s="6"/>
      <c r="F55" s="6"/>
      <c r="G55" s="6"/>
      <c r="H55" s="6"/>
      <c r="I55" s="6"/>
      <c r="J55" s="6"/>
      <c r="K55" s="6" t="s">
        <v>36</v>
      </c>
      <c r="L55" s="6" t="s">
        <v>291</v>
      </c>
      <c r="M55" s="6" t="s">
        <v>36</v>
      </c>
      <c r="N55" s="6" t="s">
        <v>292</v>
      </c>
      <c r="O55" s="6" t="s">
        <v>36</v>
      </c>
      <c r="P55" s="6" t="s">
        <v>293</v>
      </c>
      <c r="Q55" s="6"/>
      <c r="R55" s="6"/>
      <c r="S55" s="6"/>
      <c r="T55" s="6"/>
      <c r="U55" s="6"/>
      <c r="V55" s="6"/>
      <c r="W55" s="6"/>
      <c r="X55" s="6"/>
    </row>
    <row r="56" spans="1:24" ht="105" customHeight="1" x14ac:dyDescent="0.35">
      <c r="A56" s="6" t="s">
        <v>294</v>
      </c>
      <c r="B56" s="6" t="s">
        <v>88</v>
      </c>
      <c r="C56" s="6" t="s">
        <v>295</v>
      </c>
      <c r="D56" s="6" t="s">
        <v>296</v>
      </c>
      <c r="E56" s="6"/>
      <c r="F56" s="6"/>
      <c r="G56" s="6"/>
      <c r="H56" s="6"/>
      <c r="I56" s="6"/>
      <c r="J56" s="6"/>
      <c r="K56" s="6" t="s">
        <v>297</v>
      </c>
      <c r="L56" s="6" t="s">
        <v>298</v>
      </c>
      <c r="M56" s="6" t="s">
        <v>297</v>
      </c>
      <c r="N56" s="6" t="s">
        <v>93</v>
      </c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75" customHeight="1" x14ac:dyDescent="0.35">
      <c r="A57" s="6" t="s">
        <v>299</v>
      </c>
      <c r="B57" s="6" t="s">
        <v>300</v>
      </c>
      <c r="C57" s="6" t="s">
        <v>301</v>
      </c>
      <c r="D57" s="6" t="s">
        <v>302</v>
      </c>
      <c r="E57" s="6"/>
      <c r="F57" s="6"/>
      <c r="G57" s="6"/>
      <c r="H57" s="6"/>
      <c r="I57" s="6"/>
      <c r="J57" s="6"/>
      <c r="K57" s="6" t="s">
        <v>303</v>
      </c>
      <c r="L57" s="6" t="s">
        <v>239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75" customHeight="1" x14ac:dyDescent="0.35">
      <c r="A58" s="6" t="s">
        <v>304</v>
      </c>
      <c r="B58" s="6" t="s">
        <v>88</v>
      </c>
      <c r="C58" s="6" t="s">
        <v>301</v>
      </c>
      <c r="D58" s="6" t="s">
        <v>305</v>
      </c>
      <c r="E58" s="6"/>
      <c r="F58" s="6"/>
      <c r="G58" s="6"/>
      <c r="H58" s="6"/>
      <c r="I58" s="6"/>
      <c r="J58" s="6"/>
      <c r="K58" s="6" t="s">
        <v>240</v>
      </c>
      <c r="L58" s="6" t="s">
        <v>306</v>
      </c>
      <c r="M58" s="6" t="s">
        <v>139</v>
      </c>
      <c r="N58" s="6" t="s">
        <v>307</v>
      </c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05" customHeight="1" x14ac:dyDescent="0.35">
      <c r="A59" s="6" t="s">
        <v>308</v>
      </c>
      <c r="B59" s="6" t="s">
        <v>309</v>
      </c>
      <c r="C59" s="6" t="s">
        <v>310</v>
      </c>
      <c r="D59" s="6" t="s">
        <v>311</v>
      </c>
      <c r="E59" s="6"/>
      <c r="F59" s="6"/>
      <c r="G59" s="6"/>
      <c r="H59" s="6"/>
      <c r="I59" s="6"/>
      <c r="J59" s="6"/>
      <c r="K59" s="6" t="s">
        <v>312</v>
      </c>
      <c r="L59" s="6" t="s">
        <v>313</v>
      </c>
      <c r="M59" s="6" t="s">
        <v>314</v>
      </c>
      <c r="N59" s="6" t="s">
        <v>315</v>
      </c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90" customHeight="1" x14ac:dyDescent="0.35">
      <c r="A60" s="6" t="s">
        <v>316</v>
      </c>
      <c r="B60" s="6" t="s">
        <v>88</v>
      </c>
      <c r="C60" s="6" t="s">
        <v>116</v>
      </c>
      <c r="D60" s="6" t="s">
        <v>317</v>
      </c>
      <c r="E60" s="6" t="s">
        <v>318</v>
      </c>
      <c r="F60" s="6" t="s">
        <v>317</v>
      </c>
      <c r="G60" s="6" t="s">
        <v>318</v>
      </c>
      <c r="H60" s="6" t="s">
        <v>319</v>
      </c>
      <c r="I60" s="6" t="s">
        <v>116</v>
      </c>
      <c r="J60" s="6" t="s">
        <v>319</v>
      </c>
      <c r="K60" s="6" t="s">
        <v>320</v>
      </c>
      <c r="L60" s="6" t="s">
        <v>321</v>
      </c>
      <c r="M60" s="6" t="s">
        <v>59</v>
      </c>
      <c r="N60" s="6" t="s">
        <v>54</v>
      </c>
      <c r="O60" s="6"/>
      <c r="P60" s="6"/>
      <c r="Q60" s="6"/>
      <c r="R60" s="6"/>
      <c r="S60" s="6"/>
      <c r="T60" s="6"/>
      <c r="U60" s="6"/>
      <c r="V60" s="6"/>
      <c r="W60" s="6"/>
      <c r="X60" s="6"/>
    </row>
  </sheetData>
  <autoFilter ref="A2:X59" xr:uid="{00000000-0009-0000-0000-000001000000}"/>
  <mergeCells count="3">
    <mergeCell ref="C1:J1"/>
    <mergeCell ref="K1:X1"/>
    <mergeCell ref="A1:B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4"/>
  <sheetViews>
    <sheetView zoomScale="190" zoomScaleNormal="190" workbookViewId="0">
      <pane ySplit="1" topLeftCell="A163" activePane="bottomLeft" state="frozen"/>
      <selection pane="bottomLeft" activeCell="A2" sqref="A2:G170"/>
    </sheetView>
  </sheetViews>
  <sheetFormatPr defaultColWidth="8.7265625" defaultRowHeight="14.5" x14ac:dyDescent="0.35"/>
  <cols>
    <col min="1" max="1" width="16.453125" bestFit="1" customWidth="1"/>
    <col min="2" max="2" width="16.453125" customWidth="1"/>
    <col min="3" max="3" width="16" customWidth="1"/>
    <col min="4" max="4" width="23.54296875" bestFit="1" customWidth="1"/>
    <col min="5" max="6" width="13.54296875" customWidth="1"/>
    <col min="7" max="7" width="7.81640625" bestFit="1" customWidth="1"/>
    <col min="8" max="9" width="14.54296875" customWidth="1"/>
  </cols>
  <sheetData>
    <row r="1" spans="1:7" x14ac:dyDescent="0.35">
      <c r="A1" s="4" t="s">
        <v>322</v>
      </c>
      <c r="B1" s="2" t="s">
        <v>323</v>
      </c>
      <c r="C1" s="2" t="s">
        <v>8</v>
      </c>
      <c r="D1" s="2" t="s">
        <v>9</v>
      </c>
      <c r="E1" s="2" t="s">
        <v>324</v>
      </c>
      <c r="F1" s="2" t="s">
        <v>325</v>
      </c>
      <c r="G1" s="2" t="s">
        <v>326</v>
      </c>
    </row>
    <row r="2" spans="1:7" ht="45" customHeight="1" x14ac:dyDescent="0.35">
      <c r="A2" s="6">
        <v>1</v>
      </c>
      <c r="B2" s="6" t="s">
        <v>327</v>
      </c>
      <c r="C2" s="6" t="s">
        <v>328</v>
      </c>
      <c r="D2" s="6" t="s">
        <v>329</v>
      </c>
      <c r="E2" s="6" t="s">
        <v>289</v>
      </c>
      <c r="F2" s="6" t="s">
        <v>54</v>
      </c>
      <c r="G2" s="6" t="s">
        <v>330</v>
      </c>
    </row>
    <row r="3" spans="1:7" ht="150" customHeight="1" x14ac:dyDescent="0.35">
      <c r="A3" s="6">
        <v>1</v>
      </c>
      <c r="B3" s="6" t="s">
        <v>331</v>
      </c>
      <c r="C3" s="6" t="s">
        <v>332</v>
      </c>
      <c r="D3" s="6" t="s">
        <v>329</v>
      </c>
      <c r="E3" s="6" t="s">
        <v>36</v>
      </c>
      <c r="F3" s="6" t="s">
        <v>37</v>
      </c>
      <c r="G3" s="6" t="s">
        <v>333</v>
      </c>
    </row>
    <row r="4" spans="1:7" ht="105" customHeight="1" x14ac:dyDescent="0.35">
      <c r="A4" s="6">
        <v>2</v>
      </c>
      <c r="B4" s="6" t="s">
        <v>334</v>
      </c>
      <c r="C4" s="6" t="s">
        <v>335</v>
      </c>
      <c r="D4" s="6" t="s">
        <v>336</v>
      </c>
      <c r="E4" s="6" t="s">
        <v>40</v>
      </c>
      <c r="F4" s="6" t="s">
        <v>337</v>
      </c>
      <c r="G4" s="6" t="s">
        <v>330</v>
      </c>
    </row>
    <row r="5" spans="1:7" ht="105" customHeight="1" x14ac:dyDescent="0.35">
      <c r="A5" s="6">
        <v>2</v>
      </c>
      <c r="B5" s="6" t="s">
        <v>338</v>
      </c>
      <c r="C5" s="6" t="s">
        <v>335</v>
      </c>
      <c r="D5" s="6" t="s">
        <v>336</v>
      </c>
      <c r="E5" s="6" t="s">
        <v>42</v>
      </c>
      <c r="F5" s="6" t="s">
        <v>43</v>
      </c>
      <c r="G5" s="6" t="s">
        <v>330</v>
      </c>
    </row>
    <row r="6" spans="1:7" ht="90" customHeight="1" x14ac:dyDescent="0.35">
      <c r="A6" s="6">
        <v>2</v>
      </c>
      <c r="B6" s="6" t="s">
        <v>339</v>
      </c>
      <c r="C6" s="6" t="s">
        <v>340</v>
      </c>
      <c r="D6" s="6" t="s">
        <v>336</v>
      </c>
      <c r="E6" s="6" t="s">
        <v>44</v>
      </c>
      <c r="F6" s="6" t="s">
        <v>45</v>
      </c>
      <c r="G6" s="6" t="s">
        <v>333</v>
      </c>
    </row>
    <row r="7" spans="1:7" ht="90" customHeight="1" x14ac:dyDescent="0.35">
      <c r="A7" s="6">
        <v>2</v>
      </c>
      <c r="B7" s="6" t="s">
        <v>341</v>
      </c>
      <c r="C7" s="6" t="s">
        <v>340</v>
      </c>
      <c r="D7" s="6" t="s">
        <v>336</v>
      </c>
      <c r="E7" s="6" t="s">
        <v>44</v>
      </c>
      <c r="F7" s="6" t="s">
        <v>46</v>
      </c>
      <c r="G7" s="6" t="s">
        <v>333</v>
      </c>
    </row>
    <row r="8" spans="1:7" ht="90" customHeight="1" x14ac:dyDescent="0.35">
      <c r="A8" s="6">
        <v>2</v>
      </c>
      <c r="B8" s="6" t="s">
        <v>342</v>
      </c>
      <c r="C8" s="6" t="s">
        <v>340</v>
      </c>
      <c r="D8" s="6" t="s">
        <v>336</v>
      </c>
      <c r="E8" s="6" t="s">
        <v>47</v>
      </c>
      <c r="F8" s="6" t="s">
        <v>45</v>
      </c>
      <c r="G8" s="6" t="s">
        <v>333</v>
      </c>
    </row>
    <row r="9" spans="1:7" ht="90" customHeight="1" x14ac:dyDescent="0.35">
      <c r="A9" s="6">
        <v>2</v>
      </c>
      <c r="B9" s="6" t="s">
        <v>343</v>
      </c>
      <c r="C9" s="6" t="s">
        <v>340</v>
      </c>
      <c r="D9" s="6" t="s">
        <v>336</v>
      </c>
      <c r="E9" s="6" t="s">
        <v>47</v>
      </c>
      <c r="F9" s="6" t="s">
        <v>46</v>
      </c>
      <c r="G9" s="6" t="s">
        <v>333</v>
      </c>
    </row>
    <row r="10" spans="1:7" ht="60" customHeight="1" x14ac:dyDescent="0.35">
      <c r="A10" s="6">
        <v>3</v>
      </c>
      <c r="B10" s="6" t="s">
        <v>344</v>
      </c>
      <c r="C10" s="6" t="s">
        <v>345</v>
      </c>
      <c r="D10" s="6" t="s">
        <v>346</v>
      </c>
      <c r="E10" s="6" t="s">
        <v>239</v>
      </c>
      <c r="F10" s="6" t="s">
        <v>347</v>
      </c>
      <c r="G10" s="6" t="s">
        <v>330</v>
      </c>
    </row>
    <row r="11" spans="1:7" ht="135" customHeight="1" x14ac:dyDescent="0.35">
      <c r="A11" s="6">
        <v>3</v>
      </c>
      <c r="B11" s="6" t="s">
        <v>348</v>
      </c>
      <c r="C11" s="6" t="s">
        <v>349</v>
      </c>
      <c r="D11" s="6" t="s">
        <v>346</v>
      </c>
      <c r="E11" s="6" t="s">
        <v>52</v>
      </c>
      <c r="F11" s="6" t="s">
        <v>53</v>
      </c>
      <c r="G11" s="6" t="s">
        <v>333</v>
      </c>
    </row>
    <row r="12" spans="1:7" ht="135" customHeight="1" x14ac:dyDescent="0.35">
      <c r="A12" s="6">
        <v>3</v>
      </c>
      <c r="B12" s="6" t="s">
        <v>350</v>
      </c>
      <c r="C12" s="6" t="s">
        <v>349</v>
      </c>
      <c r="D12" s="6" t="s">
        <v>346</v>
      </c>
      <c r="E12" s="6" t="s">
        <v>52</v>
      </c>
      <c r="F12" s="6" t="s">
        <v>54</v>
      </c>
      <c r="G12" s="6" t="s">
        <v>333</v>
      </c>
    </row>
    <row r="13" spans="1:7" ht="60" customHeight="1" x14ac:dyDescent="0.35">
      <c r="A13" s="6">
        <v>4</v>
      </c>
      <c r="B13" s="6" t="s">
        <v>351</v>
      </c>
      <c r="C13" s="6" t="s">
        <v>352</v>
      </c>
      <c r="D13" s="6" t="s">
        <v>353</v>
      </c>
      <c r="E13" s="6" t="s">
        <v>301</v>
      </c>
      <c r="F13" s="6" t="s">
        <v>354</v>
      </c>
      <c r="G13" s="6" t="s">
        <v>330</v>
      </c>
    </row>
    <row r="14" spans="1:7" ht="120" customHeight="1" x14ac:dyDescent="0.35">
      <c r="A14" s="6">
        <v>4</v>
      </c>
      <c r="B14" s="6" t="s">
        <v>355</v>
      </c>
      <c r="C14" s="6" t="s">
        <v>356</v>
      </c>
      <c r="D14" s="6" t="s">
        <v>353</v>
      </c>
      <c r="E14" s="6" t="s">
        <v>59</v>
      </c>
      <c r="F14" s="6" t="s">
        <v>357</v>
      </c>
      <c r="G14" s="6" t="s">
        <v>333</v>
      </c>
    </row>
    <row r="15" spans="1:7" ht="120" customHeight="1" x14ac:dyDescent="0.35">
      <c r="A15" s="6">
        <v>4</v>
      </c>
      <c r="B15" s="6" t="s">
        <v>358</v>
      </c>
      <c r="C15" s="6" t="s">
        <v>356</v>
      </c>
      <c r="D15" s="6" t="s">
        <v>353</v>
      </c>
      <c r="E15" s="6" t="s">
        <v>61</v>
      </c>
      <c r="F15" s="6" t="s">
        <v>69</v>
      </c>
      <c r="G15" s="6" t="s">
        <v>333</v>
      </c>
    </row>
    <row r="16" spans="1:7" ht="45" customHeight="1" x14ac:dyDescent="0.35">
      <c r="A16" s="6">
        <v>5</v>
      </c>
      <c r="B16" s="6" t="s">
        <v>359</v>
      </c>
      <c r="C16" s="6" t="s">
        <v>360</v>
      </c>
      <c r="D16" s="6" t="s">
        <v>346</v>
      </c>
      <c r="E16" s="6" t="s">
        <v>361</v>
      </c>
      <c r="F16" s="6" t="s">
        <v>93</v>
      </c>
      <c r="G16" s="6" t="s">
        <v>330</v>
      </c>
    </row>
    <row r="17" spans="1:7" ht="120" customHeight="1" x14ac:dyDescent="0.35">
      <c r="A17" s="6">
        <v>5</v>
      </c>
      <c r="B17" s="6" t="s">
        <v>362</v>
      </c>
      <c r="C17" s="6" t="s">
        <v>363</v>
      </c>
      <c r="D17" s="6" t="s">
        <v>346</v>
      </c>
      <c r="E17" s="6" t="s">
        <v>66</v>
      </c>
      <c r="F17" s="6" t="s">
        <v>54</v>
      </c>
      <c r="G17" s="6" t="s">
        <v>333</v>
      </c>
    </row>
    <row r="18" spans="1:7" ht="120" customHeight="1" x14ac:dyDescent="0.35">
      <c r="A18" s="6">
        <v>5</v>
      </c>
      <c r="B18" s="6" t="s">
        <v>364</v>
      </c>
      <c r="C18" s="6" t="s">
        <v>363</v>
      </c>
      <c r="D18" s="6" t="s">
        <v>346</v>
      </c>
      <c r="E18" s="6" t="s">
        <v>66</v>
      </c>
      <c r="F18" s="6" t="s">
        <v>365</v>
      </c>
      <c r="G18" s="6" t="s">
        <v>333</v>
      </c>
    </row>
    <row r="19" spans="1:7" ht="120" customHeight="1" x14ac:dyDescent="0.35">
      <c r="A19" s="6">
        <v>5</v>
      </c>
      <c r="B19" s="6" t="s">
        <v>366</v>
      </c>
      <c r="C19" s="6" t="s">
        <v>363</v>
      </c>
      <c r="D19" s="6" t="s">
        <v>346</v>
      </c>
      <c r="E19" s="6" t="s">
        <v>66</v>
      </c>
      <c r="F19" s="6" t="s">
        <v>367</v>
      </c>
      <c r="G19" s="6" t="s">
        <v>333</v>
      </c>
    </row>
    <row r="20" spans="1:7" ht="120" customHeight="1" x14ac:dyDescent="0.35">
      <c r="A20" s="6">
        <v>5</v>
      </c>
      <c r="B20" s="6" t="s">
        <v>368</v>
      </c>
      <c r="C20" s="6" t="s">
        <v>363</v>
      </c>
      <c r="D20" s="6" t="s">
        <v>346</v>
      </c>
      <c r="E20" s="6" t="s">
        <v>47</v>
      </c>
      <c r="F20" s="6" t="s">
        <v>69</v>
      </c>
      <c r="G20" s="6" t="s">
        <v>333</v>
      </c>
    </row>
    <row r="21" spans="1:7" ht="60" customHeight="1" x14ac:dyDescent="0.35">
      <c r="A21" s="6">
        <v>6</v>
      </c>
      <c r="B21" s="6" t="s">
        <v>369</v>
      </c>
      <c r="C21" s="6" t="s">
        <v>370</v>
      </c>
      <c r="D21" s="6" t="s">
        <v>346</v>
      </c>
      <c r="E21" s="6" t="s">
        <v>361</v>
      </c>
      <c r="F21" s="6" t="s">
        <v>371</v>
      </c>
      <c r="G21" s="6" t="s">
        <v>330</v>
      </c>
    </row>
    <row r="22" spans="1:7" ht="75" customHeight="1" x14ac:dyDescent="0.35">
      <c r="A22" s="6">
        <v>6</v>
      </c>
      <c r="B22" s="6" t="s">
        <v>372</v>
      </c>
      <c r="C22" s="6" t="s">
        <v>373</v>
      </c>
      <c r="D22" s="6" t="s">
        <v>346</v>
      </c>
      <c r="E22" s="6" t="s">
        <v>72</v>
      </c>
      <c r="F22" s="6" t="s">
        <v>374</v>
      </c>
      <c r="G22" s="6" t="s">
        <v>333</v>
      </c>
    </row>
    <row r="23" spans="1:7" ht="135" customHeight="1" x14ac:dyDescent="0.35">
      <c r="A23" s="6">
        <v>7</v>
      </c>
      <c r="B23" s="6" t="s">
        <v>375</v>
      </c>
      <c r="C23" s="6" t="s">
        <v>376</v>
      </c>
      <c r="D23" s="6" t="s">
        <v>346</v>
      </c>
      <c r="E23" s="6" t="s">
        <v>72</v>
      </c>
      <c r="F23" s="6" t="s">
        <v>77</v>
      </c>
      <c r="G23" s="6" t="s">
        <v>333</v>
      </c>
    </row>
    <row r="24" spans="1:7" ht="45" customHeight="1" x14ac:dyDescent="0.35">
      <c r="A24" s="6">
        <v>7</v>
      </c>
      <c r="B24" s="6" t="s">
        <v>377</v>
      </c>
      <c r="C24" s="6" t="s">
        <v>378</v>
      </c>
      <c r="D24" s="6" t="s">
        <v>346</v>
      </c>
      <c r="E24" s="6" t="s">
        <v>379</v>
      </c>
      <c r="F24" s="6" t="s">
        <v>380</v>
      </c>
      <c r="G24" s="6" t="s">
        <v>330</v>
      </c>
    </row>
    <row r="25" spans="1:7" ht="135" customHeight="1" x14ac:dyDescent="0.35">
      <c r="A25" s="6">
        <v>7</v>
      </c>
      <c r="B25" s="6" t="s">
        <v>381</v>
      </c>
      <c r="C25" s="6" t="s">
        <v>376</v>
      </c>
      <c r="D25" s="6" t="s">
        <v>346</v>
      </c>
      <c r="E25" s="6" t="s">
        <v>382</v>
      </c>
      <c r="F25" s="6" t="s">
        <v>383</v>
      </c>
      <c r="G25" s="6" t="s">
        <v>333</v>
      </c>
    </row>
    <row r="26" spans="1:7" ht="60" customHeight="1" x14ac:dyDescent="0.35">
      <c r="A26" s="6">
        <v>8</v>
      </c>
      <c r="B26" s="6" t="s">
        <v>384</v>
      </c>
      <c r="C26" s="6" t="s">
        <v>385</v>
      </c>
      <c r="D26" s="6" t="s">
        <v>346</v>
      </c>
      <c r="E26" s="6" t="s">
        <v>386</v>
      </c>
      <c r="F26" s="6" t="s">
        <v>387</v>
      </c>
      <c r="G26" s="6" t="s">
        <v>330</v>
      </c>
    </row>
    <row r="27" spans="1:7" ht="195" customHeight="1" x14ac:dyDescent="0.35">
      <c r="A27" s="6">
        <v>8</v>
      </c>
      <c r="B27" s="6" t="s">
        <v>388</v>
      </c>
      <c r="C27" s="6" t="s">
        <v>389</v>
      </c>
      <c r="D27" s="6" t="s">
        <v>346</v>
      </c>
      <c r="E27" s="6" t="s">
        <v>83</v>
      </c>
      <c r="F27" s="6" t="s">
        <v>43</v>
      </c>
      <c r="G27" s="6" t="s">
        <v>333</v>
      </c>
    </row>
    <row r="28" spans="1:7" ht="45" customHeight="1" x14ac:dyDescent="0.35">
      <c r="A28" s="6">
        <v>9</v>
      </c>
      <c r="B28" s="6" t="s">
        <v>390</v>
      </c>
      <c r="C28" s="6" t="s">
        <v>391</v>
      </c>
      <c r="D28" s="6" t="s">
        <v>346</v>
      </c>
      <c r="E28" s="6" t="s">
        <v>392</v>
      </c>
      <c r="F28" s="6" t="s">
        <v>93</v>
      </c>
      <c r="G28" s="6" t="s">
        <v>330</v>
      </c>
    </row>
    <row r="29" spans="1:7" ht="75" customHeight="1" x14ac:dyDescent="0.35">
      <c r="A29" s="6">
        <v>9</v>
      </c>
      <c r="B29" s="6" t="s">
        <v>393</v>
      </c>
      <c r="C29" s="6" t="s">
        <v>394</v>
      </c>
      <c r="D29" s="6" t="s">
        <v>346</v>
      </c>
      <c r="E29" s="6" t="s">
        <v>86</v>
      </c>
      <c r="F29" s="6" t="s">
        <v>54</v>
      </c>
      <c r="G29" s="6" t="s">
        <v>333</v>
      </c>
    </row>
    <row r="30" spans="1:7" ht="105" customHeight="1" x14ac:dyDescent="0.35">
      <c r="A30" s="6">
        <v>10</v>
      </c>
      <c r="B30" s="6" t="s">
        <v>395</v>
      </c>
      <c r="C30" s="6" t="s">
        <v>396</v>
      </c>
      <c r="D30" s="6" t="s">
        <v>141</v>
      </c>
      <c r="E30" s="6" t="s">
        <v>91</v>
      </c>
      <c r="F30" s="6" t="s">
        <v>92</v>
      </c>
      <c r="G30" s="6" t="s">
        <v>333</v>
      </c>
    </row>
    <row r="31" spans="1:7" ht="75" customHeight="1" x14ac:dyDescent="0.35">
      <c r="A31" s="6">
        <v>10</v>
      </c>
      <c r="B31" s="6" t="s">
        <v>397</v>
      </c>
      <c r="C31" s="6" t="s">
        <v>398</v>
      </c>
      <c r="D31" s="6" t="s">
        <v>141</v>
      </c>
      <c r="E31" s="6" t="s">
        <v>61</v>
      </c>
      <c r="F31" s="6" t="s">
        <v>399</v>
      </c>
      <c r="G31" s="6" t="s">
        <v>330</v>
      </c>
    </row>
    <row r="32" spans="1:7" ht="105" customHeight="1" x14ac:dyDescent="0.35">
      <c r="A32" s="6">
        <v>10</v>
      </c>
      <c r="B32" s="6" t="s">
        <v>400</v>
      </c>
      <c r="C32" s="6" t="s">
        <v>396</v>
      </c>
      <c r="D32" s="6" t="s">
        <v>141</v>
      </c>
      <c r="E32" s="6" t="s">
        <v>91</v>
      </c>
      <c r="F32" s="6" t="s">
        <v>93</v>
      </c>
      <c r="G32" s="6" t="s">
        <v>333</v>
      </c>
    </row>
    <row r="33" spans="1:7" ht="60" customHeight="1" x14ac:dyDescent="0.35">
      <c r="A33" s="6">
        <v>11</v>
      </c>
      <c r="B33" s="6" t="s">
        <v>401</v>
      </c>
      <c r="C33" s="6" t="s">
        <v>402</v>
      </c>
      <c r="D33" s="6" t="s">
        <v>141</v>
      </c>
      <c r="E33" s="6" t="s">
        <v>148</v>
      </c>
      <c r="F33" s="6" t="s">
        <v>403</v>
      </c>
      <c r="G33" s="6" t="s">
        <v>330</v>
      </c>
    </row>
    <row r="34" spans="1:7" ht="90" customHeight="1" x14ac:dyDescent="0.35">
      <c r="A34" s="6">
        <v>11</v>
      </c>
      <c r="B34" s="6" t="s">
        <v>404</v>
      </c>
      <c r="C34" s="6" t="s">
        <v>405</v>
      </c>
      <c r="D34" s="6" t="s">
        <v>141</v>
      </c>
      <c r="E34" s="6" t="s">
        <v>97</v>
      </c>
      <c r="F34" s="6" t="s">
        <v>54</v>
      </c>
      <c r="G34" s="6" t="s">
        <v>333</v>
      </c>
    </row>
    <row r="35" spans="1:7" ht="75" customHeight="1" x14ac:dyDescent="0.35">
      <c r="A35" s="6">
        <v>12</v>
      </c>
      <c r="B35" s="6" t="s">
        <v>406</v>
      </c>
      <c r="C35" s="6" t="s">
        <v>407</v>
      </c>
      <c r="D35" s="6" t="s">
        <v>141</v>
      </c>
      <c r="E35" s="6" t="s">
        <v>272</v>
      </c>
      <c r="F35" s="6" t="s">
        <v>93</v>
      </c>
      <c r="G35" s="6" t="s">
        <v>330</v>
      </c>
    </row>
    <row r="36" spans="1:7" ht="90" customHeight="1" x14ac:dyDescent="0.35">
      <c r="A36" s="6">
        <v>12</v>
      </c>
      <c r="B36" s="6" t="s">
        <v>408</v>
      </c>
      <c r="C36" s="6" t="s">
        <v>409</v>
      </c>
      <c r="D36" s="6" t="s">
        <v>141</v>
      </c>
      <c r="E36" s="6" t="s">
        <v>100</v>
      </c>
      <c r="F36" s="6" t="s">
        <v>101</v>
      </c>
      <c r="G36" s="6" t="s">
        <v>333</v>
      </c>
    </row>
    <row r="37" spans="1:7" ht="90" customHeight="1" x14ac:dyDescent="0.35">
      <c r="A37" s="6">
        <v>12</v>
      </c>
      <c r="B37" s="6" t="s">
        <v>410</v>
      </c>
      <c r="C37" s="6" t="s">
        <v>409</v>
      </c>
      <c r="D37" s="6" t="s">
        <v>141</v>
      </c>
      <c r="E37" s="6" t="s">
        <v>411</v>
      </c>
      <c r="F37" s="6" t="s">
        <v>101</v>
      </c>
      <c r="G37" s="6" t="s">
        <v>333</v>
      </c>
    </row>
    <row r="38" spans="1:7" ht="90" customHeight="1" x14ac:dyDescent="0.35">
      <c r="A38" s="6">
        <v>12</v>
      </c>
      <c r="B38" s="6" t="s">
        <v>412</v>
      </c>
      <c r="C38" s="6" t="s">
        <v>409</v>
      </c>
      <c r="D38" s="6" t="s">
        <v>141</v>
      </c>
      <c r="E38" s="6" t="s">
        <v>229</v>
      </c>
      <c r="F38" s="6" t="s">
        <v>101</v>
      </c>
      <c r="G38" s="6" t="s">
        <v>333</v>
      </c>
    </row>
    <row r="39" spans="1:7" ht="45" customHeight="1" x14ac:dyDescent="0.35">
      <c r="A39" s="6">
        <v>13</v>
      </c>
      <c r="B39" s="6" t="s">
        <v>413</v>
      </c>
      <c r="C39" s="6" t="s">
        <v>414</v>
      </c>
      <c r="D39" s="6" t="s">
        <v>141</v>
      </c>
      <c r="E39" s="6" t="s">
        <v>415</v>
      </c>
      <c r="F39" s="6" t="s">
        <v>416</v>
      </c>
      <c r="G39" s="6" t="s">
        <v>330</v>
      </c>
    </row>
    <row r="40" spans="1:7" ht="135" customHeight="1" x14ac:dyDescent="0.35">
      <c r="A40" s="6">
        <v>13</v>
      </c>
      <c r="B40" s="6" t="s">
        <v>417</v>
      </c>
      <c r="C40" s="6" t="s">
        <v>418</v>
      </c>
      <c r="D40" s="6" t="s">
        <v>141</v>
      </c>
      <c r="E40" s="6" t="s">
        <v>107</v>
      </c>
      <c r="F40" s="6" t="s">
        <v>108</v>
      </c>
      <c r="G40" s="6" t="s">
        <v>333</v>
      </c>
    </row>
    <row r="41" spans="1:7" ht="135" customHeight="1" x14ac:dyDescent="0.35">
      <c r="A41" s="6">
        <v>13</v>
      </c>
      <c r="B41" s="6" t="s">
        <v>419</v>
      </c>
      <c r="C41" s="6" t="s">
        <v>418</v>
      </c>
      <c r="D41" s="6" t="s">
        <v>141</v>
      </c>
      <c r="E41" s="6" t="s">
        <v>107</v>
      </c>
      <c r="F41" s="6" t="s">
        <v>420</v>
      </c>
      <c r="G41" s="6" t="s">
        <v>333</v>
      </c>
    </row>
    <row r="42" spans="1:7" ht="60" customHeight="1" x14ac:dyDescent="0.35">
      <c r="A42" s="6">
        <v>14</v>
      </c>
      <c r="B42" s="6" t="s">
        <v>421</v>
      </c>
      <c r="C42" s="6" t="s">
        <v>422</v>
      </c>
      <c r="D42" s="6" t="s">
        <v>141</v>
      </c>
      <c r="E42" s="6" t="s">
        <v>423</v>
      </c>
      <c r="F42" s="6" t="s">
        <v>416</v>
      </c>
      <c r="G42" s="6" t="s">
        <v>330</v>
      </c>
    </row>
    <row r="43" spans="1:7" ht="150" customHeight="1" x14ac:dyDescent="0.35">
      <c r="A43" s="6">
        <v>14</v>
      </c>
      <c r="B43" s="6" t="s">
        <v>424</v>
      </c>
      <c r="C43" s="6" t="s">
        <v>425</v>
      </c>
      <c r="D43" s="6" t="s">
        <v>141</v>
      </c>
      <c r="E43" s="6" t="s">
        <v>112</v>
      </c>
      <c r="F43" s="6" t="s">
        <v>108</v>
      </c>
      <c r="G43" s="6" t="s">
        <v>333</v>
      </c>
    </row>
    <row r="44" spans="1:7" ht="150" customHeight="1" x14ac:dyDescent="0.35">
      <c r="A44" s="6">
        <v>14</v>
      </c>
      <c r="B44" s="6" t="s">
        <v>426</v>
      </c>
      <c r="C44" s="6" t="s">
        <v>425</v>
      </c>
      <c r="D44" s="6" t="s">
        <v>141</v>
      </c>
      <c r="E44" s="6" t="s">
        <v>427</v>
      </c>
      <c r="F44" s="6" t="s">
        <v>114</v>
      </c>
      <c r="G44" s="6" t="s">
        <v>333</v>
      </c>
    </row>
    <row r="45" spans="1:7" ht="75" customHeight="1" x14ac:dyDescent="0.35">
      <c r="A45" s="6">
        <v>15</v>
      </c>
      <c r="B45" s="6" t="s">
        <v>428</v>
      </c>
      <c r="C45" s="6" t="s">
        <v>429</v>
      </c>
      <c r="D45" s="6" t="s">
        <v>141</v>
      </c>
      <c r="E45" s="6" t="s">
        <v>171</v>
      </c>
      <c r="F45" s="6" t="s">
        <v>430</v>
      </c>
      <c r="G45" s="6" t="s">
        <v>330</v>
      </c>
    </row>
    <row r="46" spans="1:7" ht="75" customHeight="1" x14ac:dyDescent="0.35">
      <c r="A46" s="6">
        <v>15</v>
      </c>
      <c r="B46" s="6" t="s">
        <v>431</v>
      </c>
      <c r="C46" s="6" t="s">
        <v>432</v>
      </c>
      <c r="D46" s="6" t="s">
        <v>141</v>
      </c>
      <c r="E46" s="6" t="s">
        <v>72</v>
      </c>
      <c r="F46" s="6" t="s">
        <v>118</v>
      </c>
      <c r="G46" s="6" t="s">
        <v>333</v>
      </c>
    </row>
    <row r="47" spans="1:7" ht="75" customHeight="1" x14ac:dyDescent="0.35">
      <c r="A47" s="6">
        <v>15</v>
      </c>
      <c r="B47" s="6" t="s">
        <v>433</v>
      </c>
      <c r="C47" s="6" t="s">
        <v>432</v>
      </c>
      <c r="D47" s="6" t="s">
        <v>141</v>
      </c>
      <c r="E47" s="6" t="s">
        <v>72</v>
      </c>
      <c r="F47" s="6" t="s">
        <v>434</v>
      </c>
      <c r="G47" s="6" t="s">
        <v>333</v>
      </c>
    </row>
    <row r="48" spans="1:7" ht="60" customHeight="1" x14ac:dyDescent="0.35">
      <c r="A48" s="6">
        <v>16</v>
      </c>
      <c r="B48" s="6" t="s">
        <v>435</v>
      </c>
      <c r="C48" s="6" t="s">
        <v>436</v>
      </c>
      <c r="D48" s="6" t="s">
        <v>141</v>
      </c>
      <c r="E48" s="6" t="s">
        <v>184</v>
      </c>
      <c r="F48" s="6" t="s">
        <v>437</v>
      </c>
      <c r="G48" s="6" t="s">
        <v>330</v>
      </c>
    </row>
    <row r="49" spans="1:7" ht="105" customHeight="1" x14ac:dyDescent="0.35">
      <c r="A49" s="6">
        <v>16</v>
      </c>
      <c r="B49" s="6" t="s">
        <v>438</v>
      </c>
      <c r="C49" s="6" t="s">
        <v>439</v>
      </c>
      <c r="D49" s="6" t="s">
        <v>141</v>
      </c>
      <c r="E49" s="6" t="s">
        <v>123</v>
      </c>
      <c r="F49" s="6" t="s">
        <v>440</v>
      </c>
      <c r="G49" s="6" t="s">
        <v>333</v>
      </c>
    </row>
    <row r="50" spans="1:7" ht="75" customHeight="1" x14ac:dyDescent="0.35">
      <c r="A50" s="6">
        <v>17</v>
      </c>
      <c r="B50" s="6" t="s">
        <v>441</v>
      </c>
      <c r="C50" s="6" t="s">
        <v>442</v>
      </c>
      <c r="D50" s="6" t="s">
        <v>141</v>
      </c>
      <c r="E50" s="6" t="s">
        <v>259</v>
      </c>
      <c r="F50" s="6" t="s">
        <v>443</v>
      </c>
      <c r="G50" s="6" t="s">
        <v>330</v>
      </c>
    </row>
    <row r="51" spans="1:7" ht="90" customHeight="1" x14ac:dyDescent="0.35">
      <c r="A51" s="6">
        <v>17</v>
      </c>
      <c r="B51" s="6" t="s">
        <v>444</v>
      </c>
      <c r="C51" s="6" t="s">
        <v>445</v>
      </c>
      <c r="D51" s="6" t="s">
        <v>141</v>
      </c>
      <c r="E51" s="6" t="s">
        <v>128</v>
      </c>
      <c r="F51" s="6" t="s">
        <v>101</v>
      </c>
      <c r="G51" s="6" t="s">
        <v>333</v>
      </c>
    </row>
    <row r="52" spans="1:7" ht="90" customHeight="1" x14ac:dyDescent="0.35">
      <c r="A52" s="6">
        <v>17</v>
      </c>
      <c r="B52" s="6" t="s">
        <v>446</v>
      </c>
      <c r="C52" s="6" t="s">
        <v>445</v>
      </c>
      <c r="D52" s="6" t="s">
        <v>141</v>
      </c>
      <c r="E52" s="6" t="s">
        <v>128</v>
      </c>
      <c r="F52" s="6" t="s">
        <v>129</v>
      </c>
      <c r="G52" s="6" t="s">
        <v>333</v>
      </c>
    </row>
    <row r="53" spans="1:7" ht="60" customHeight="1" x14ac:dyDescent="0.35">
      <c r="A53" s="6">
        <v>18</v>
      </c>
      <c r="B53" s="6" t="s">
        <v>447</v>
      </c>
      <c r="C53" s="6" t="s">
        <v>448</v>
      </c>
      <c r="D53" s="6" t="s">
        <v>141</v>
      </c>
      <c r="E53" s="6" t="s">
        <v>259</v>
      </c>
      <c r="F53" s="6" t="s">
        <v>449</v>
      </c>
      <c r="G53" s="6" t="s">
        <v>330</v>
      </c>
    </row>
    <row r="54" spans="1:7" ht="90" customHeight="1" x14ac:dyDescent="0.35">
      <c r="A54" s="6">
        <v>18</v>
      </c>
      <c r="B54" s="6" t="s">
        <v>450</v>
      </c>
      <c r="C54" s="6" t="s">
        <v>451</v>
      </c>
      <c r="D54" s="6" t="s">
        <v>141</v>
      </c>
      <c r="E54" s="6" t="s">
        <v>132</v>
      </c>
      <c r="F54" s="6" t="s">
        <v>133</v>
      </c>
      <c r="G54" s="6" t="s">
        <v>333</v>
      </c>
    </row>
    <row r="55" spans="1:7" ht="60" customHeight="1" x14ac:dyDescent="0.35">
      <c r="A55" s="6">
        <v>19</v>
      </c>
      <c r="B55" s="6" t="s">
        <v>452</v>
      </c>
      <c r="C55" s="6" t="s">
        <v>453</v>
      </c>
      <c r="D55" s="6" t="s">
        <v>141</v>
      </c>
      <c r="E55" s="6" t="s">
        <v>271</v>
      </c>
      <c r="F55" s="6" t="s">
        <v>221</v>
      </c>
      <c r="G55" s="6" t="s">
        <v>330</v>
      </c>
    </row>
    <row r="56" spans="1:7" ht="120" customHeight="1" x14ac:dyDescent="0.35">
      <c r="A56" s="6">
        <v>19</v>
      </c>
      <c r="B56" s="6" t="s">
        <v>454</v>
      </c>
      <c r="C56" s="6" t="s">
        <v>455</v>
      </c>
      <c r="D56" s="6" t="s">
        <v>141</v>
      </c>
      <c r="E56" s="6" t="s">
        <v>137</v>
      </c>
      <c r="F56" s="6" t="s">
        <v>456</v>
      </c>
      <c r="G56" s="6" t="s">
        <v>333</v>
      </c>
    </row>
    <row r="57" spans="1:7" ht="120" customHeight="1" x14ac:dyDescent="0.35">
      <c r="A57" s="6">
        <v>19</v>
      </c>
      <c r="B57" s="6" t="s">
        <v>457</v>
      </c>
      <c r="C57" s="6" t="s">
        <v>455</v>
      </c>
      <c r="D57" s="6" t="s">
        <v>141</v>
      </c>
      <c r="E57" s="6" t="s">
        <v>139</v>
      </c>
      <c r="F57" s="6" t="s">
        <v>114</v>
      </c>
      <c r="G57" s="6" t="s">
        <v>333</v>
      </c>
    </row>
    <row r="58" spans="1:7" ht="90" customHeight="1" x14ac:dyDescent="0.35">
      <c r="A58" s="6">
        <v>20</v>
      </c>
      <c r="B58" s="6" t="s">
        <v>458</v>
      </c>
      <c r="C58" s="6" t="s">
        <v>459</v>
      </c>
      <c r="D58" s="6" t="s">
        <v>141</v>
      </c>
      <c r="E58" s="6" t="s">
        <v>142</v>
      </c>
      <c r="F58" s="6" t="s">
        <v>93</v>
      </c>
      <c r="G58" s="6" t="s">
        <v>330</v>
      </c>
    </row>
    <row r="59" spans="1:7" ht="105" customHeight="1" x14ac:dyDescent="0.35">
      <c r="A59" s="6">
        <v>21</v>
      </c>
      <c r="B59" s="6" t="s">
        <v>460</v>
      </c>
      <c r="C59" s="6" t="s">
        <v>461</v>
      </c>
      <c r="D59" s="6" t="s">
        <v>462</v>
      </c>
      <c r="E59" s="6" t="s">
        <v>184</v>
      </c>
      <c r="F59" s="6" t="s">
        <v>463</v>
      </c>
      <c r="G59" s="6" t="s">
        <v>330</v>
      </c>
    </row>
    <row r="60" spans="1:7" ht="105" customHeight="1" x14ac:dyDescent="0.35">
      <c r="A60" s="6">
        <v>21</v>
      </c>
      <c r="B60" s="6" t="s">
        <v>464</v>
      </c>
      <c r="C60" s="6" t="s">
        <v>461</v>
      </c>
      <c r="D60" s="6" t="s">
        <v>462</v>
      </c>
      <c r="E60" s="6" t="s">
        <v>184</v>
      </c>
      <c r="F60" s="6" t="s">
        <v>465</v>
      </c>
      <c r="G60" s="6" t="s">
        <v>330</v>
      </c>
    </row>
    <row r="61" spans="1:7" ht="105" customHeight="1" x14ac:dyDescent="0.35">
      <c r="A61" s="6">
        <v>21</v>
      </c>
      <c r="B61" s="6" t="s">
        <v>466</v>
      </c>
      <c r="C61" s="6" t="s">
        <v>461</v>
      </c>
      <c r="D61" s="6" t="s">
        <v>462</v>
      </c>
      <c r="E61" s="6" t="s">
        <v>467</v>
      </c>
      <c r="F61" s="6" t="s">
        <v>463</v>
      </c>
      <c r="G61" s="6" t="s">
        <v>330</v>
      </c>
    </row>
    <row r="62" spans="1:7" ht="105" customHeight="1" x14ac:dyDescent="0.35">
      <c r="A62" s="6">
        <v>21</v>
      </c>
      <c r="B62" s="6" t="s">
        <v>468</v>
      </c>
      <c r="C62" s="6" t="s">
        <v>461</v>
      </c>
      <c r="D62" s="6" t="s">
        <v>462</v>
      </c>
      <c r="E62" s="6" t="s">
        <v>467</v>
      </c>
      <c r="F62" s="6" t="s">
        <v>465</v>
      </c>
      <c r="G62" s="6" t="s">
        <v>330</v>
      </c>
    </row>
    <row r="63" spans="1:7" ht="120" customHeight="1" x14ac:dyDescent="0.35">
      <c r="A63" s="6">
        <v>21</v>
      </c>
      <c r="B63" s="6" t="s">
        <v>469</v>
      </c>
      <c r="C63" s="6" t="s">
        <v>470</v>
      </c>
      <c r="D63" s="6" t="s">
        <v>462</v>
      </c>
      <c r="E63" s="6" t="s">
        <v>148</v>
      </c>
      <c r="F63" s="6" t="s">
        <v>149</v>
      </c>
      <c r="G63" s="6" t="s">
        <v>333</v>
      </c>
    </row>
    <row r="64" spans="1:7" ht="120" customHeight="1" x14ac:dyDescent="0.35">
      <c r="A64" s="6">
        <v>21</v>
      </c>
      <c r="B64" s="6" t="s">
        <v>471</v>
      </c>
      <c r="C64" s="6" t="s">
        <v>470</v>
      </c>
      <c r="D64" s="6" t="s">
        <v>462</v>
      </c>
      <c r="E64" s="6" t="s">
        <v>148</v>
      </c>
      <c r="F64" s="6" t="s">
        <v>150</v>
      </c>
      <c r="G64" s="6" t="s">
        <v>333</v>
      </c>
    </row>
    <row r="65" spans="1:7" ht="120" customHeight="1" x14ac:dyDescent="0.35">
      <c r="A65" s="6">
        <v>21</v>
      </c>
      <c r="B65" s="6" t="s">
        <v>472</v>
      </c>
      <c r="C65" s="6" t="s">
        <v>470</v>
      </c>
      <c r="D65" s="6" t="s">
        <v>462</v>
      </c>
      <c r="E65" s="6" t="s">
        <v>148</v>
      </c>
      <c r="F65" s="6" t="s">
        <v>473</v>
      </c>
      <c r="G65" s="6" t="s">
        <v>333</v>
      </c>
    </row>
    <row r="66" spans="1:7" ht="75" customHeight="1" x14ac:dyDescent="0.35">
      <c r="A66" s="6">
        <v>22</v>
      </c>
      <c r="B66" s="6" t="s">
        <v>474</v>
      </c>
      <c r="C66" s="6" t="s">
        <v>475</v>
      </c>
      <c r="D66" s="6" t="s">
        <v>462</v>
      </c>
      <c r="E66" s="6" t="s">
        <v>476</v>
      </c>
      <c r="F66" s="6" t="s">
        <v>477</v>
      </c>
      <c r="G66" s="6" t="s">
        <v>330</v>
      </c>
    </row>
    <row r="67" spans="1:7" ht="105" customHeight="1" x14ac:dyDescent="0.35">
      <c r="A67" s="6">
        <v>22</v>
      </c>
      <c r="B67" s="6" t="s">
        <v>478</v>
      </c>
      <c r="C67" s="6" t="s">
        <v>479</v>
      </c>
      <c r="D67" s="6" t="s">
        <v>462</v>
      </c>
      <c r="E67" s="6" t="s">
        <v>155</v>
      </c>
      <c r="F67" s="6" t="s">
        <v>480</v>
      </c>
      <c r="G67" s="6" t="s">
        <v>333</v>
      </c>
    </row>
    <row r="68" spans="1:7" ht="105" customHeight="1" x14ac:dyDescent="0.35">
      <c r="A68" s="6">
        <v>22</v>
      </c>
      <c r="B68" s="6" t="s">
        <v>481</v>
      </c>
      <c r="C68" s="6" t="s">
        <v>479</v>
      </c>
      <c r="D68" s="6" t="s">
        <v>462</v>
      </c>
      <c r="E68" s="6" t="s">
        <v>157</v>
      </c>
      <c r="F68" s="6" t="s">
        <v>480</v>
      </c>
      <c r="G68" s="6" t="s">
        <v>333</v>
      </c>
    </row>
    <row r="69" spans="1:7" ht="105" customHeight="1" x14ac:dyDescent="0.35">
      <c r="A69" s="6">
        <v>22</v>
      </c>
      <c r="B69" s="6" t="s">
        <v>482</v>
      </c>
      <c r="C69" s="6" t="s">
        <v>479</v>
      </c>
      <c r="D69" s="6" t="s">
        <v>462</v>
      </c>
      <c r="E69" s="6" t="s">
        <v>158</v>
      </c>
      <c r="F69" s="6" t="s">
        <v>480</v>
      </c>
      <c r="G69" s="6" t="s">
        <v>333</v>
      </c>
    </row>
    <row r="70" spans="1:7" ht="105" customHeight="1" x14ac:dyDescent="0.35">
      <c r="A70" s="6">
        <v>23</v>
      </c>
      <c r="B70" s="6" t="s">
        <v>483</v>
      </c>
      <c r="C70" s="6" t="s">
        <v>484</v>
      </c>
      <c r="D70" s="6" t="s">
        <v>462</v>
      </c>
      <c r="E70" s="6" t="s">
        <v>485</v>
      </c>
      <c r="F70" s="6" t="s">
        <v>486</v>
      </c>
      <c r="G70" s="6" t="s">
        <v>330</v>
      </c>
    </row>
    <row r="71" spans="1:7" ht="90" customHeight="1" x14ac:dyDescent="0.35">
      <c r="A71" s="6">
        <v>23</v>
      </c>
      <c r="B71" s="6" t="s">
        <v>487</v>
      </c>
      <c r="C71" s="6" t="s">
        <v>488</v>
      </c>
      <c r="D71" s="6" t="s">
        <v>462</v>
      </c>
      <c r="E71" s="6" t="s">
        <v>162</v>
      </c>
      <c r="F71" s="6" t="s">
        <v>163</v>
      </c>
      <c r="G71" s="6" t="s">
        <v>333</v>
      </c>
    </row>
    <row r="72" spans="1:7" ht="60" customHeight="1" x14ac:dyDescent="0.35">
      <c r="A72" s="6">
        <v>24</v>
      </c>
      <c r="B72" s="6" t="s">
        <v>489</v>
      </c>
      <c r="C72" s="6" t="s">
        <v>490</v>
      </c>
      <c r="D72" s="6" t="s">
        <v>141</v>
      </c>
      <c r="E72" s="6" t="s">
        <v>61</v>
      </c>
      <c r="F72" s="6" t="s">
        <v>491</v>
      </c>
      <c r="G72" s="6" t="s">
        <v>330</v>
      </c>
    </row>
    <row r="73" spans="1:7" ht="165" customHeight="1" x14ac:dyDescent="0.35">
      <c r="A73" s="6">
        <v>24</v>
      </c>
      <c r="B73" s="6" t="s">
        <v>492</v>
      </c>
      <c r="C73" s="6" t="s">
        <v>493</v>
      </c>
      <c r="D73" s="6" t="s">
        <v>141</v>
      </c>
      <c r="E73" s="6" t="s">
        <v>91</v>
      </c>
      <c r="F73" s="6" t="s">
        <v>101</v>
      </c>
      <c r="G73" s="6" t="s">
        <v>333</v>
      </c>
    </row>
    <row r="74" spans="1:7" ht="90" customHeight="1" x14ac:dyDescent="0.35">
      <c r="A74" s="6">
        <v>25</v>
      </c>
      <c r="B74" s="6" t="s">
        <v>494</v>
      </c>
      <c r="C74" s="6" t="s">
        <v>495</v>
      </c>
      <c r="D74" s="6" t="s">
        <v>496</v>
      </c>
      <c r="E74" s="6" t="s">
        <v>497</v>
      </c>
      <c r="F74" s="6" t="s">
        <v>239</v>
      </c>
      <c r="G74" s="6" t="s">
        <v>330</v>
      </c>
    </row>
    <row r="75" spans="1:7" ht="135" customHeight="1" x14ac:dyDescent="0.35">
      <c r="A75" s="6">
        <v>25</v>
      </c>
      <c r="B75" s="6" t="s">
        <v>498</v>
      </c>
      <c r="C75" s="6" t="s">
        <v>499</v>
      </c>
      <c r="D75" s="6" t="s">
        <v>496</v>
      </c>
      <c r="E75" s="6" t="s">
        <v>170</v>
      </c>
      <c r="F75" s="6" t="s">
        <v>53</v>
      </c>
      <c r="G75" s="6" t="s">
        <v>333</v>
      </c>
    </row>
    <row r="76" spans="1:7" ht="135" customHeight="1" x14ac:dyDescent="0.35">
      <c r="A76" s="6">
        <v>25</v>
      </c>
      <c r="B76" s="6" t="s">
        <v>500</v>
      </c>
      <c r="C76" s="6" t="s">
        <v>499</v>
      </c>
      <c r="D76" s="6" t="s">
        <v>496</v>
      </c>
      <c r="E76" s="6" t="s">
        <v>171</v>
      </c>
      <c r="F76" s="6" t="s">
        <v>118</v>
      </c>
      <c r="G76" s="6" t="s">
        <v>333</v>
      </c>
    </row>
    <row r="77" spans="1:7" ht="75" customHeight="1" x14ac:dyDescent="0.35">
      <c r="A77" s="6">
        <v>26</v>
      </c>
      <c r="B77" s="6" t="s">
        <v>501</v>
      </c>
      <c r="C77" s="6" t="s">
        <v>502</v>
      </c>
      <c r="D77" s="6" t="s">
        <v>496</v>
      </c>
      <c r="E77" s="6" t="s">
        <v>114</v>
      </c>
      <c r="F77" s="6" t="s">
        <v>503</v>
      </c>
      <c r="G77" s="6" t="s">
        <v>330</v>
      </c>
    </row>
    <row r="78" spans="1:7" ht="150" customHeight="1" x14ac:dyDescent="0.35">
      <c r="A78" s="6">
        <v>26</v>
      </c>
      <c r="B78" s="6" t="s">
        <v>504</v>
      </c>
      <c r="C78" s="6" t="s">
        <v>505</v>
      </c>
      <c r="D78" s="6" t="s">
        <v>496</v>
      </c>
      <c r="E78" s="6" t="s">
        <v>72</v>
      </c>
      <c r="F78" s="6" t="s">
        <v>506</v>
      </c>
      <c r="G78" s="6" t="s">
        <v>333</v>
      </c>
    </row>
    <row r="79" spans="1:7" ht="60" customHeight="1" x14ac:dyDescent="0.35">
      <c r="A79" s="6">
        <v>27</v>
      </c>
      <c r="B79" s="6" t="s">
        <v>507</v>
      </c>
      <c r="C79" s="6" t="s">
        <v>508</v>
      </c>
      <c r="D79" s="6" t="s">
        <v>141</v>
      </c>
      <c r="E79" s="6" t="s">
        <v>509</v>
      </c>
      <c r="F79" s="6" t="s">
        <v>510</v>
      </c>
      <c r="G79" s="6" t="s">
        <v>330</v>
      </c>
    </row>
    <row r="80" spans="1:7" ht="90" customHeight="1" x14ac:dyDescent="0.35">
      <c r="A80" s="6">
        <v>27</v>
      </c>
      <c r="B80" s="6" t="s">
        <v>511</v>
      </c>
      <c r="C80" s="6" t="s">
        <v>512</v>
      </c>
      <c r="D80" s="6" t="s">
        <v>141</v>
      </c>
      <c r="E80" s="6" t="s">
        <v>179</v>
      </c>
      <c r="F80" s="6" t="s">
        <v>180</v>
      </c>
      <c r="G80" s="6" t="s">
        <v>333</v>
      </c>
    </row>
    <row r="81" spans="1:7" ht="90" customHeight="1" x14ac:dyDescent="0.35">
      <c r="A81" s="6">
        <v>27</v>
      </c>
      <c r="B81" s="6" t="s">
        <v>513</v>
      </c>
      <c r="C81" s="6" t="s">
        <v>512</v>
      </c>
      <c r="D81" s="6" t="s">
        <v>141</v>
      </c>
      <c r="E81" s="6" t="s">
        <v>181</v>
      </c>
      <c r="F81" s="6" t="s">
        <v>180</v>
      </c>
      <c r="G81" s="6" t="s">
        <v>333</v>
      </c>
    </row>
    <row r="82" spans="1:7" ht="75" customHeight="1" x14ac:dyDescent="0.35">
      <c r="A82" s="6">
        <v>28</v>
      </c>
      <c r="B82" s="6" t="s">
        <v>514</v>
      </c>
      <c r="C82" s="6" t="s">
        <v>515</v>
      </c>
      <c r="D82" s="6" t="s">
        <v>141</v>
      </c>
      <c r="E82" s="6" t="s">
        <v>259</v>
      </c>
      <c r="F82" s="6" t="s">
        <v>516</v>
      </c>
      <c r="G82" s="6" t="s">
        <v>330</v>
      </c>
    </row>
    <row r="83" spans="1:7" ht="60" customHeight="1" x14ac:dyDescent="0.35">
      <c r="A83" s="6">
        <v>28</v>
      </c>
      <c r="B83" s="6" t="s">
        <v>517</v>
      </c>
      <c r="C83" s="6" t="s">
        <v>518</v>
      </c>
      <c r="D83" s="6" t="s">
        <v>141</v>
      </c>
      <c r="E83" s="6" t="s">
        <v>184</v>
      </c>
      <c r="F83" s="6" t="s">
        <v>519</v>
      </c>
      <c r="G83" s="6" t="s">
        <v>333</v>
      </c>
    </row>
    <row r="84" spans="1:7" ht="60" customHeight="1" x14ac:dyDescent="0.35">
      <c r="A84" s="6">
        <v>28</v>
      </c>
      <c r="B84" s="6" t="s">
        <v>520</v>
      </c>
      <c r="C84" s="6" t="s">
        <v>518</v>
      </c>
      <c r="D84" s="6" t="s">
        <v>141</v>
      </c>
      <c r="E84" s="6" t="s">
        <v>184</v>
      </c>
      <c r="F84" s="6" t="s">
        <v>521</v>
      </c>
      <c r="G84" s="6" t="s">
        <v>333</v>
      </c>
    </row>
    <row r="85" spans="1:7" ht="60" customHeight="1" x14ac:dyDescent="0.35">
      <c r="A85" s="6">
        <v>29</v>
      </c>
      <c r="B85" s="6" t="s">
        <v>522</v>
      </c>
      <c r="C85" s="6" t="s">
        <v>523</v>
      </c>
      <c r="D85" s="6" t="s">
        <v>141</v>
      </c>
      <c r="E85" s="6" t="s">
        <v>272</v>
      </c>
      <c r="F85" s="6" t="s">
        <v>524</v>
      </c>
      <c r="G85" s="6" t="s">
        <v>330</v>
      </c>
    </row>
    <row r="86" spans="1:7" ht="165" customHeight="1" x14ac:dyDescent="0.35">
      <c r="A86" s="6">
        <v>29</v>
      </c>
      <c r="B86" s="6" t="s">
        <v>525</v>
      </c>
      <c r="C86" s="6" t="s">
        <v>526</v>
      </c>
      <c r="D86" s="6" t="s">
        <v>141</v>
      </c>
      <c r="E86" s="6" t="s">
        <v>189</v>
      </c>
      <c r="F86" s="6" t="s">
        <v>93</v>
      </c>
      <c r="G86" s="6" t="s">
        <v>333</v>
      </c>
    </row>
    <row r="87" spans="1:7" ht="60" customHeight="1" x14ac:dyDescent="0.35">
      <c r="A87" s="6">
        <v>30</v>
      </c>
      <c r="B87" s="6" t="s">
        <v>527</v>
      </c>
      <c r="C87" s="6" t="s">
        <v>528</v>
      </c>
      <c r="D87" s="6" t="s">
        <v>141</v>
      </c>
      <c r="E87" s="6" t="s">
        <v>259</v>
      </c>
      <c r="F87" s="6" t="s">
        <v>529</v>
      </c>
      <c r="G87" s="6" t="s">
        <v>330</v>
      </c>
    </row>
    <row r="88" spans="1:7" ht="90" customHeight="1" x14ac:dyDescent="0.35">
      <c r="A88" s="6">
        <v>30</v>
      </c>
      <c r="B88" s="6" t="s">
        <v>530</v>
      </c>
      <c r="C88" s="6" t="s">
        <v>531</v>
      </c>
      <c r="D88" s="6" t="s">
        <v>141</v>
      </c>
      <c r="E88" s="6" t="s">
        <v>128</v>
      </c>
      <c r="F88" s="6" t="s">
        <v>101</v>
      </c>
      <c r="G88" s="6" t="s">
        <v>333</v>
      </c>
    </row>
    <row r="89" spans="1:7" ht="60" customHeight="1" x14ac:dyDescent="0.35">
      <c r="A89" s="6">
        <v>31</v>
      </c>
      <c r="B89" s="6" t="s">
        <v>532</v>
      </c>
      <c r="C89" s="6" t="s">
        <v>533</v>
      </c>
      <c r="D89" s="6" t="s">
        <v>346</v>
      </c>
      <c r="E89" s="6" t="s">
        <v>72</v>
      </c>
      <c r="F89" s="6" t="s">
        <v>534</v>
      </c>
      <c r="G89" s="6" t="s">
        <v>330</v>
      </c>
    </row>
    <row r="90" spans="1:7" ht="90" customHeight="1" x14ac:dyDescent="0.35">
      <c r="A90" s="6">
        <v>32</v>
      </c>
      <c r="B90" s="6" t="s">
        <v>535</v>
      </c>
      <c r="C90" s="6" t="s">
        <v>536</v>
      </c>
      <c r="D90" s="6" t="s">
        <v>141</v>
      </c>
      <c r="E90" s="6" t="s">
        <v>537</v>
      </c>
      <c r="F90" s="6" t="s">
        <v>538</v>
      </c>
      <c r="G90" s="6" t="s">
        <v>330</v>
      </c>
    </row>
    <row r="91" spans="1:7" ht="90" customHeight="1" x14ac:dyDescent="0.35">
      <c r="A91" s="6">
        <v>32</v>
      </c>
      <c r="B91" s="6" t="s">
        <v>539</v>
      </c>
      <c r="C91" s="6" t="s">
        <v>536</v>
      </c>
      <c r="D91" s="6" t="s">
        <v>141</v>
      </c>
      <c r="E91" s="6" t="s">
        <v>540</v>
      </c>
      <c r="F91" s="6" t="s">
        <v>538</v>
      </c>
      <c r="G91" s="6" t="s">
        <v>330</v>
      </c>
    </row>
    <row r="92" spans="1:7" ht="75" customHeight="1" x14ac:dyDescent="0.35">
      <c r="A92" s="6">
        <v>33</v>
      </c>
      <c r="B92" s="6" t="s">
        <v>541</v>
      </c>
      <c r="C92" s="6" t="s">
        <v>542</v>
      </c>
      <c r="D92" s="6" t="s">
        <v>141</v>
      </c>
      <c r="E92" s="6" t="s">
        <v>170</v>
      </c>
      <c r="F92" s="6" t="s">
        <v>543</v>
      </c>
      <c r="G92" s="6" t="s">
        <v>330</v>
      </c>
    </row>
    <row r="93" spans="1:7" ht="45" customHeight="1" x14ac:dyDescent="0.35">
      <c r="A93" s="6">
        <v>33</v>
      </c>
      <c r="B93" s="6" t="s">
        <v>544</v>
      </c>
      <c r="C93" s="6" t="s">
        <v>545</v>
      </c>
      <c r="D93" s="6" t="s">
        <v>141</v>
      </c>
      <c r="E93" s="6" t="s">
        <v>202</v>
      </c>
      <c r="F93" s="6" t="s">
        <v>203</v>
      </c>
      <c r="G93" s="6" t="s">
        <v>333</v>
      </c>
    </row>
    <row r="94" spans="1:7" ht="60" customHeight="1" x14ac:dyDescent="0.35">
      <c r="A94" s="6">
        <v>34</v>
      </c>
      <c r="B94" s="6" t="s">
        <v>546</v>
      </c>
      <c r="C94" s="6" t="s">
        <v>547</v>
      </c>
      <c r="D94" s="6" t="s">
        <v>141</v>
      </c>
      <c r="E94" s="6" t="s">
        <v>497</v>
      </c>
      <c r="F94" s="6" t="s">
        <v>548</v>
      </c>
      <c r="G94" s="6" t="s">
        <v>330</v>
      </c>
    </row>
    <row r="95" spans="1:7" ht="90" customHeight="1" x14ac:dyDescent="0.35">
      <c r="A95" s="6">
        <v>34</v>
      </c>
      <c r="B95" s="6" t="s">
        <v>549</v>
      </c>
      <c r="C95" s="6" t="s">
        <v>550</v>
      </c>
      <c r="D95" s="6" t="s">
        <v>141</v>
      </c>
      <c r="E95" s="6" t="s">
        <v>184</v>
      </c>
      <c r="F95" s="6" t="s">
        <v>150</v>
      </c>
      <c r="G95" s="6" t="s">
        <v>333</v>
      </c>
    </row>
    <row r="96" spans="1:7" ht="90" customHeight="1" x14ac:dyDescent="0.35">
      <c r="A96" s="6">
        <v>34</v>
      </c>
      <c r="B96" s="6" t="s">
        <v>551</v>
      </c>
      <c r="C96" s="6" t="s">
        <v>550</v>
      </c>
      <c r="D96" s="6" t="s">
        <v>141</v>
      </c>
      <c r="E96" s="6" t="s">
        <v>148</v>
      </c>
      <c r="F96" s="6" t="s">
        <v>206</v>
      </c>
      <c r="G96" s="6" t="s">
        <v>333</v>
      </c>
    </row>
    <row r="97" spans="1:7" ht="60" customHeight="1" x14ac:dyDescent="0.35">
      <c r="A97" s="6">
        <v>35</v>
      </c>
      <c r="B97" s="6" t="s">
        <v>552</v>
      </c>
      <c r="C97" s="6" t="s">
        <v>553</v>
      </c>
      <c r="D97" s="6" t="s">
        <v>554</v>
      </c>
      <c r="E97" s="6" t="s">
        <v>272</v>
      </c>
      <c r="F97" s="6" t="s">
        <v>365</v>
      </c>
      <c r="G97" s="6" t="s">
        <v>330</v>
      </c>
    </row>
    <row r="98" spans="1:7" ht="90" customHeight="1" x14ac:dyDescent="0.35">
      <c r="A98" s="6">
        <v>35</v>
      </c>
      <c r="B98" s="6" t="s">
        <v>555</v>
      </c>
      <c r="C98" s="6" t="s">
        <v>556</v>
      </c>
      <c r="D98" s="6" t="s">
        <v>554</v>
      </c>
      <c r="E98" s="6" t="s">
        <v>272</v>
      </c>
      <c r="F98" s="6" t="s">
        <v>365</v>
      </c>
      <c r="G98" s="6" t="s">
        <v>333</v>
      </c>
    </row>
    <row r="99" spans="1:7" ht="75" customHeight="1" x14ac:dyDescent="0.35">
      <c r="A99" s="6">
        <v>36</v>
      </c>
      <c r="B99" s="6" t="s">
        <v>557</v>
      </c>
      <c r="C99" s="6" t="s">
        <v>558</v>
      </c>
      <c r="D99" s="6" t="s">
        <v>559</v>
      </c>
      <c r="E99" s="6" t="s">
        <v>259</v>
      </c>
      <c r="F99" s="6" t="s">
        <v>560</v>
      </c>
      <c r="G99" s="6" t="s">
        <v>330</v>
      </c>
    </row>
    <row r="100" spans="1:7" ht="105" customHeight="1" x14ac:dyDescent="0.35">
      <c r="A100" s="6">
        <v>36</v>
      </c>
      <c r="B100" s="6" t="s">
        <v>561</v>
      </c>
      <c r="C100" s="6" t="s">
        <v>562</v>
      </c>
      <c r="D100" s="6" t="s">
        <v>559</v>
      </c>
      <c r="E100" s="6" t="s">
        <v>214</v>
      </c>
      <c r="F100" s="6" t="s">
        <v>215</v>
      </c>
      <c r="G100" s="6" t="s">
        <v>333</v>
      </c>
    </row>
    <row r="101" spans="1:7" ht="105" customHeight="1" x14ac:dyDescent="0.35">
      <c r="A101" s="6">
        <v>36</v>
      </c>
      <c r="B101" s="6" t="s">
        <v>563</v>
      </c>
      <c r="C101" s="6" t="s">
        <v>562</v>
      </c>
      <c r="D101" s="6" t="s">
        <v>559</v>
      </c>
      <c r="E101" s="6" t="s">
        <v>216</v>
      </c>
      <c r="F101" s="6" t="s">
        <v>215</v>
      </c>
      <c r="G101" s="6" t="s">
        <v>333</v>
      </c>
    </row>
    <row r="102" spans="1:7" ht="105" customHeight="1" x14ac:dyDescent="0.35">
      <c r="A102" s="6">
        <v>36</v>
      </c>
      <c r="B102" s="6" t="s">
        <v>564</v>
      </c>
      <c r="C102" s="6" t="s">
        <v>562</v>
      </c>
      <c r="D102" s="6" t="s">
        <v>559</v>
      </c>
      <c r="E102" s="6" t="s">
        <v>217</v>
      </c>
      <c r="F102" s="6" t="s">
        <v>565</v>
      </c>
      <c r="G102" s="6" t="s">
        <v>333</v>
      </c>
    </row>
    <row r="103" spans="1:7" ht="60" customHeight="1" x14ac:dyDescent="0.35">
      <c r="A103" s="6">
        <v>37</v>
      </c>
      <c r="B103" s="6" t="s">
        <v>566</v>
      </c>
      <c r="C103" s="6" t="s">
        <v>567</v>
      </c>
      <c r="D103" s="6" t="s">
        <v>346</v>
      </c>
      <c r="E103" s="6" t="s">
        <v>239</v>
      </c>
      <c r="F103" s="6" t="s">
        <v>568</v>
      </c>
      <c r="G103" s="6" t="s">
        <v>330</v>
      </c>
    </row>
    <row r="104" spans="1:7" ht="75" customHeight="1" x14ac:dyDescent="0.35">
      <c r="A104" s="6">
        <v>37</v>
      </c>
      <c r="B104" s="6" t="s">
        <v>569</v>
      </c>
      <c r="C104" s="6" t="s">
        <v>570</v>
      </c>
      <c r="D104" s="6" t="s">
        <v>346</v>
      </c>
      <c r="E104" s="6" t="s">
        <v>221</v>
      </c>
      <c r="F104" s="6" t="s">
        <v>571</v>
      </c>
      <c r="G104" s="6" t="s">
        <v>333</v>
      </c>
    </row>
    <row r="105" spans="1:7" ht="150" customHeight="1" x14ac:dyDescent="0.35">
      <c r="A105" s="6">
        <v>38</v>
      </c>
      <c r="B105" s="6" t="s">
        <v>572</v>
      </c>
      <c r="C105" s="6" t="s">
        <v>573</v>
      </c>
      <c r="D105" s="6" t="s">
        <v>554</v>
      </c>
      <c r="E105" s="6" t="s">
        <v>574</v>
      </c>
      <c r="F105" s="6" t="s">
        <v>568</v>
      </c>
      <c r="G105" s="6" t="s">
        <v>330</v>
      </c>
    </row>
    <row r="106" spans="1:7" ht="150" customHeight="1" x14ac:dyDescent="0.35">
      <c r="A106" s="6">
        <v>38</v>
      </c>
      <c r="B106" s="6" t="s">
        <v>575</v>
      </c>
      <c r="C106" s="6" t="s">
        <v>573</v>
      </c>
      <c r="D106" s="6" t="s">
        <v>554</v>
      </c>
      <c r="E106" s="6" t="s">
        <v>148</v>
      </c>
      <c r="F106" s="6" t="s">
        <v>150</v>
      </c>
      <c r="G106" s="6" t="s">
        <v>330</v>
      </c>
    </row>
    <row r="107" spans="1:7" ht="60" customHeight="1" x14ac:dyDescent="0.35">
      <c r="A107" s="6">
        <v>39</v>
      </c>
      <c r="B107" s="6" t="s">
        <v>576</v>
      </c>
      <c r="C107" s="6" t="s">
        <v>577</v>
      </c>
      <c r="D107" s="6" t="s">
        <v>554</v>
      </c>
      <c r="E107" s="6" t="s">
        <v>100</v>
      </c>
      <c r="F107" s="6" t="s">
        <v>365</v>
      </c>
      <c r="G107" s="6" t="s">
        <v>330</v>
      </c>
    </row>
    <row r="108" spans="1:7" ht="180" customHeight="1" x14ac:dyDescent="0.35">
      <c r="A108" s="6">
        <v>39</v>
      </c>
      <c r="B108" s="6" t="s">
        <v>578</v>
      </c>
      <c r="C108" s="6" t="s">
        <v>579</v>
      </c>
      <c r="D108" s="6" t="s">
        <v>554</v>
      </c>
      <c r="E108" s="6" t="s">
        <v>100</v>
      </c>
      <c r="F108" s="6" t="s">
        <v>101</v>
      </c>
      <c r="G108" s="6" t="s">
        <v>333</v>
      </c>
    </row>
    <row r="109" spans="1:7" ht="180" customHeight="1" x14ac:dyDescent="0.35">
      <c r="A109" s="6">
        <v>39</v>
      </c>
      <c r="B109" s="6" t="s">
        <v>580</v>
      </c>
      <c r="C109" s="6" t="s">
        <v>579</v>
      </c>
      <c r="D109" s="6" t="s">
        <v>554</v>
      </c>
      <c r="E109" s="6" t="s">
        <v>227</v>
      </c>
      <c r="F109" s="6" t="s">
        <v>365</v>
      </c>
      <c r="G109" s="6" t="s">
        <v>333</v>
      </c>
    </row>
    <row r="110" spans="1:7" ht="180" customHeight="1" x14ac:dyDescent="0.35">
      <c r="A110" s="6">
        <v>39</v>
      </c>
      <c r="B110" s="6" t="s">
        <v>581</v>
      </c>
      <c r="C110" s="6" t="s">
        <v>579</v>
      </c>
      <c r="D110" s="6" t="s">
        <v>554</v>
      </c>
      <c r="E110" s="6" t="s">
        <v>228</v>
      </c>
      <c r="F110" s="6" t="s">
        <v>365</v>
      </c>
      <c r="G110" s="6" t="s">
        <v>333</v>
      </c>
    </row>
    <row r="111" spans="1:7" ht="180" customHeight="1" x14ac:dyDescent="0.35">
      <c r="A111" s="6">
        <v>39</v>
      </c>
      <c r="B111" s="6" t="s">
        <v>582</v>
      </c>
      <c r="C111" s="6" t="s">
        <v>579</v>
      </c>
      <c r="D111" s="6" t="s">
        <v>554</v>
      </c>
      <c r="E111" s="6" t="s">
        <v>229</v>
      </c>
      <c r="F111" s="6" t="s">
        <v>365</v>
      </c>
      <c r="G111" s="6" t="s">
        <v>333</v>
      </c>
    </row>
    <row r="112" spans="1:7" ht="180" customHeight="1" x14ac:dyDescent="0.35">
      <c r="A112" s="6">
        <v>39</v>
      </c>
      <c r="B112" s="6" t="s">
        <v>583</v>
      </c>
      <c r="C112" s="6" t="s">
        <v>579</v>
      </c>
      <c r="D112" s="6" t="s">
        <v>554</v>
      </c>
      <c r="E112" s="6" t="s">
        <v>148</v>
      </c>
      <c r="F112" s="6" t="s">
        <v>584</v>
      </c>
      <c r="G112" s="6" t="s">
        <v>333</v>
      </c>
    </row>
    <row r="113" spans="1:7" ht="180" customHeight="1" x14ac:dyDescent="0.35">
      <c r="A113" s="6">
        <v>39</v>
      </c>
      <c r="B113" s="6" t="s">
        <v>585</v>
      </c>
      <c r="C113" s="6" t="s">
        <v>579</v>
      </c>
      <c r="D113" s="6" t="s">
        <v>554</v>
      </c>
      <c r="E113" s="6" t="s">
        <v>148</v>
      </c>
      <c r="F113" s="6" t="s">
        <v>586</v>
      </c>
      <c r="G113" s="6" t="s">
        <v>333</v>
      </c>
    </row>
    <row r="114" spans="1:7" ht="180" customHeight="1" x14ac:dyDescent="0.35">
      <c r="A114" s="6">
        <v>39</v>
      </c>
      <c r="B114" s="6" t="s">
        <v>587</v>
      </c>
      <c r="C114" s="6" t="s">
        <v>579</v>
      </c>
      <c r="D114" s="6" t="s">
        <v>554</v>
      </c>
      <c r="E114" s="6" t="s">
        <v>148</v>
      </c>
      <c r="F114" s="6" t="s">
        <v>588</v>
      </c>
      <c r="G114" s="6" t="s">
        <v>333</v>
      </c>
    </row>
    <row r="115" spans="1:7" ht="45" customHeight="1" x14ac:dyDescent="0.35">
      <c r="A115" s="6">
        <v>40</v>
      </c>
      <c r="B115" s="6" t="s">
        <v>589</v>
      </c>
      <c r="C115" s="6" t="s">
        <v>590</v>
      </c>
      <c r="D115" s="6" t="s">
        <v>346</v>
      </c>
      <c r="E115" s="6" t="s">
        <v>591</v>
      </c>
      <c r="F115" s="6" t="s">
        <v>365</v>
      </c>
      <c r="G115" s="6" t="s">
        <v>330</v>
      </c>
    </row>
    <row r="116" spans="1:7" ht="45" customHeight="1" x14ac:dyDescent="0.35">
      <c r="A116" s="6">
        <v>40</v>
      </c>
      <c r="B116" s="6" t="s">
        <v>592</v>
      </c>
      <c r="C116" s="6" t="s">
        <v>593</v>
      </c>
      <c r="D116" s="6" t="s">
        <v>346</v>
      </c>
      <c r="E116" s="6" t="s">
        <v>100</v>
      </c>
      <c r="F116" s="6" t="s">
        <v>594</v>
      </c>
      <c r="G116" s="6" t="s">
        <v>333</v>
      </c>
    </row>
    <row r="117" spans="1:7" ht="105" customHeight="1" x14ac:dyDescent="0.35">
      <c r="A117" s="6">
        <v>41</v>
      </c>
      <c r="B117" s="6" t="s">
        <v>595</v>
      </c>
      <c r="C117" s="6" t="s">
        <v>596</v>
      </c>
      <c r="D117" s="6" t="s">
        <v>554</v>
      </c>
      <c r="E117" s="6" t="s">
        <v>100</v>
      </c>
      <c r="F117" s="6" t="s">
        <v>597</v>
      </c>
      <c r="G117" s="6" t="s">
        <v>330</v>
      </c>
    </row>
    <row r="118" spans="1:7" ht="105" customHeight="1" x14ac:dyDescent="0.35">
      <c r="A118" s="6">
        <v>41</v>
      </c>
      <c r="B118" s="6" t="s">
        <v>598</v>
      </c>
      <c r="C118" s="6" t="s">
        <v>599</v>
      </c>
      <c r="D118" s="6" t="s">
        <v>554</v>
      </c>
      <c r="E118" s="6" t="s">
        <v>100</v>
      </c>
      <c r="F118" s="6" t="s">
        <v>239</v>
      </c>
      <c r="G118" s="6" t="s">
        <v>333</v>
      </c>
    </row>
    <row r="119" spans="1:7" ht="105" customHeight="1" x14ac:dyDescent="0.35">
      <c r="A119" s="6">
        <v>41</v>
      </c>
      <c r="B119" s="6" t="s">
        <v>600</v>
      </c>
      <c r="C119" s="6" t="s">
        <v>599</v>
      </c>
      <c r="D119" s="6" t="s">
        <v>554</v>
      </c>
      <c r="E119" s="6" t="s">
        <v>240</v>
      </c>
      <c r="F119" s="6" t="s">
        <v>239</v>
      </c>
      <c r="G119" s="6" t="s">
        <v>333</v>
      </c>
    </row>
    <row r="120" spans="1:7" ht="105" customHeight="1" x14ac:dyDescent="0.35">
      <c r="A120" s="6">
        <v>41</v>
      </c>
      <c r="B120" s="6" t="s">
        <v>601</v>
      </c>
      <c r="C120" s="6" t="s">
        <v>599</v>
      </c>
      <c r="D120" s="6" t="s">
        <v>554</v>
      </c>
      <c r="E120" s="6" t="s">
        <v>240</v>
      </c>
      <c r="F120" s="6" t="s">
        <v>241</v>
      </c>
      <c r="G120" s="6" t="s">
        <v>333</v>
      </c>
    </row>
    <row r="121" spans="1:7" ht="210" customHeight="1" x14ac:dyDescent="0.35">
      <c r="A121" s="6">
        <v>42</v>
      </c>
      <c r="B121" s="6" t="s">
        <v>602</v>
      </c>
      <c r="C121" s="6" t="s">
        <v>603</v>
      </c>
      <c r="D121" s="6" t="s">
        <v>554</v>
      </c>
      <c r="E121" s="6" t="s">
        <v>162</v>
      </c>
      <c r="F121" s="6" t="s">
        <v>604</v>
      </c>
      <c r="G121" s="6" t="s">
        <v>333</v>
      </c>
    </row>
    <row r="122" spans="1:7" ht="90" customHeight="1" x14ac:dyDescent="0.35">
      <c r="A122" s="6">
        <v>42</v>
      </c>
      <c r="B122" s="6" t="s">
        <v>605</v>
      </c>
      <c r="C122" s="6" t="s">
        <v>606</v>
      </c>
      <c r="D122" s="6" t="s">
        <v>554</v>
      </c>
      <c r="E122" s="6" t="s">
        <v>184</v>
      </c>
      <c r="F122" s="6" t="s">
        <v>607</v>
      </c>
      <c r="G122" s="6" t="s">
        <v>330</v>
      </c>
    </row>
    <row r="123" spans="1:7" ht="210" customHeight="1" x14ac:dyDescent="0.35">
      <c r="A123" s="6">
        <v>42</v>
      </c>
      <c r="B123" s="6" t="s">
        <v>608</v>
      </c>
      <c r="C123" s="6" t="s">
        <v>603</v>
      </c>
      <c r="D123" s="6" t="s">
        <v>554</v>
      </c>
      <c r="E123" s="6" t="s">
        <v>171</v>
      </c>
      <c r="F123" s="6" t="s">
        <v>609</v>
      </c>
      <c r="G123" s="6" t="s">
        <v>333</v>
      </c>
    </row>
    <row r="124" spans="1:7" ht="210" customHeight="1" x14ac:dyDescent="0.35">
      <c r="A124" s="6">
        <v>42</v>
      </c>
      <c r="B124" s="6" t="s">
        <v>610</v>
      </c>
      <c r="C124" s="6" t="s">
        <v>603</v>
      </c>
      <c r="D124" s="6" t="s">
        <v>554</v>
      </c>
      <c r="E124" s="6" t="s">
        <v>47</v>
      </c>
      <c r="F124" s="6" t="s">
        <v>611</v>
      </c>
      <c r="G124" s="6" t="s">
        <v>333</v>
      </c>
    </row>
    <row r="125" spans="1:7" ht="90" customHeight="1" x14ac:dyDescent="0.35">
      <c r="A125" s="6">
        <v>43</v>
      </c>
      <c r="B125" s="6" t="s">
        <v>612</v>
      </c>
      <c r="C125" s="6" t="s">
        <v>613</v>
      </c>
      <c r="D125" s="6" t="s">
        <v>614</v>
      </c>
      <c r="E125" s="6" t="s">
        <v>114</v>
      </c>
      <c r="F125" s="6" t="s">
        <v>615</v>
      </c>
      <c r="G125" s="6" t="s">
        <v>330</v>
      </c>
    </row>
    <row r="126" spans="1:7" ht="60" customHeight="1" x14ac:dyDescent="0.35">
      <c r="A126" s="6">
        <v>43</v>
      </c>
      <c r="B126" s="6" t="s">
        <v>616</v>
      </c>
      <c r="C126" s="6" t="s">
        <v>617</v>
      </c>
      <c r="D126" s="6" t="s">
        <v>614</v>
      </c>
      <c r="E126" s="6" t="s">
        <v>253</v>
      </c>
      <c r="F126" s="6" t="s">
        <v>239</v>
      </c>
      <c r="G126" s="6" t="s">
        <v>333</v>
      </c>
    </row>
    <row r="127" spans="1:7" ht="60" customHeight="1" x14ac:dyDescent="0.35">
      <c r="A127" s="6">
        <v>43</v>
      </c>
      <c r="B127" s="6" t="s">
        <v>618</v>
      </c>
      <c r="C127" s="6" t="s">
        <v>617</v>
      </c>
      <c r="D127" s="6" t="s">
        <v>614</v>
      </c>
      <c r="E127" s="6" t="s">
        <v>254</v>
      </c>
      <c r="F127" s="6" t="s">
        <v>255</v>
      </c>
      <c r="G127" s="6" t="s">
        <v>333</v>
      </c>
    </row>
    <row r="128" spans="1:7" ht="60" customHeight="1" x14ac:dyDescent="0.35">
      <c r="A128" s="6">
        <v>44</v>
      </c>
      <c r="B128" s="6" t="s">
        <v>619</v>
      </c>
      <c r="C128" s="6" t="s">
        <v>620</v>
      </c>
      <c r="D128" s="6" t="s">
        <v>141</v>
      </c>
      <c r="E128" s="6" t="s">
        <v>259</v>
      </c>
      <c r="F128" s="6" t="s">
        <v>621</v>
      </c>
      <c r="G128" s="6" t="s">
        <v>330</v>
      </c>
    </row>
    <row r="129" spans="1:7" ht="105" customHeight="1" x14ac:dyDescent="0.35">
      <c r="A129" s="6">
        <v>44</v>
      </c>
      <c r="B129" s="6" t="s">
        <v>622</v>
      </c>
      <c r="C129" s="6" t="s">
        <v>623</v>
      </c>
      <c r="D129" s="6" t="s">
        <v>141</v>
      </c>
      <c r="E129" s="6" t="s">
        <v>184</v>
      </c>
      <c r="F129" s="6" t="s">
        <v>621</v>
      </c>
      <c r="G129" s="6" t="s">
        <v>333</v>
      </c>
    </row>
    <row r="130" spans="1:7" ht="105" customHeight="1" x14ac:dyDescent="0.35">
      <c r="A130" s="6">
        <v>44</v>
      </c>
      <c r="B130" s="6" t="s">
        <v>624</v>
      </c>
      <c r="C130" s="6" t="s">
        <v>623</v>
      </c>
      <c r="D130" s="6" t="s">
        <v>141</v>
      </c>
      <c r="E130" s="6" t="s">
        <v>259</v>
      </c>
      <c r="F130" s="6" t="s">
        <v>621</v>
      </c>
      <c r="G130" s="6" t="s">
        <v>333</v>
      </c>
    </row>
    <row r="131" spans="1:7" ht="90" customHeight="1" x14ac:dyDescent="0.35">
      <c r="A131" s="6">
        <v>45</v>
      </c>
      <c r="B131" s="6" t="s">
        <v>625</v>
      </c>
      <c r="C131" s="6" t="s">
        <v>626</v>
      </c>
      <c r="D131" s="6" t="s">
        <v>346</v>
      </c>
      <c r="E131" s="6" t="s">
        <v>162</v>
      </c>
      <c r="F131" s="6" t="s">
        <v>627</v>
      </c>
      <c r="G131" s="6" t="s">
        <v>330</v>
      </c>
    </row>
    <row r="132" spans="1:7" ht="75" customHeight="1" x14ac:dyDescent="0.35">
      <c r="A132" s="6">
        <v>45</v>
      </c>
      <c r="B132" s="6" t="s">
        <v>628</v>
      </c>
      <c r="C132" s="6" t="s">
        <v>629</v>
      </c>
      <c r="D132" s="6" t="s">
        <v>346</v>
      </c>
      <c r="E132" s="6" t="s">
        <v>52</v>
      </c>
      <c r="F132" s="6" t="s">
        <v>630</v>
      </c>
      <c r="G132" s="6" t="s">
        <v>333</v>
      </c>
    </row>
    <row r="133" spans="1:7" ht="75" customHeight="1" x14ac:dyDescent="0.35">
      <c r="A133" s="6">
        <v>45</v>
      </c>
      <c r="B133" s="6" t="s">
        <v>631</v>
      </c>
      <c r="C133" s="6" t="s">
        <v>629</v>
      </c>
      <c r="D133" s="6" t="s">
        <v>346</v>
      </c>
      <c r="E133" s="6" t="s">
        <v>36</v>
      </c>
      <c r="F133" s="6" t="s">
        <v>264</v>
      </c>
      <c r="G133" s="6" t="s">
        <v>333</v>
      </c>
    </row>
    <row r="134" spans="1:7" ht="45" customHeight="1" x14ac:dyDescent="0.35">
      <c r="A134" s="6">
        <v>46</v>
      </c>
      <c r="B134" s="6" t="s">
        <v>632</v>
      </c>
      <c r="C134" s="6" t="s">
        <v>633</v>
      </c>
      <c r="D134" s="6" t="s">
        <v>353</v>
      </c>
      <c r="E134" s="6" t="s">
        <v>239</v>
      </c>
      <c r="F134" s="6" t="s">
        <v>267</v>
      </c>
      <c r="G134" s="6" t="s">
        <v>330</v>
      </c>
    </row>
    <row r="135" spans="1:7" ht="90" customHeight="1" x14ac:dyDescent="0.35">
      <c r="A135" s="6">
        <v>46</v>
      </c>
      <c r="B135" s="6" t="s">
        <v>634</v>
      </c>
      <c r="C135" s="6" t="s">
        <v>635</v>
      </c>
      <c r="D135" s="6" t="s">
        <v>353</v>
      </c>
      <c r="E135" s="6" t="s">
        <v>61</v>
      </c>
      <c r="F135" s="6" t="s">
        <v>267</v>
      </c>
      <c r="G135" s="6" t="s">
        <v>333</v>
      </c>
    </row>
    <row r="136" spans="1:7" ht="90" customHeight="1" x14ac:dyDescent="0.35">
      <c r="A136" s="6">
        <v>46</v>
      </c>
      <c r="B136" s="6" t="s">
        <v>636</v>
      </c>
      <c r="C136" s="6" t="s">
        <v>635</v>
      </c>
      <c r="D136" s="6" t="s">
        <v>353</v>
      </c>
      <c r="E136" s="6" t="s">
        <v>272</v>
      </c>
      <c r="F136" s="6" t="s">
        <v>637</v>
      </c>
      <c r="G136" s="6" t="s">
        <v>333</v>
      </c>
    </row>
    <row r="137" spans="1:7" ht="60" customHeight="1" x14ac:dyDescent="0.35">
      <c r="A137" s="6">
        <v>47</v>
      </c>
      <c r="B137" s="6" t="s">
        <v>638</v>
      </c>
      <c r="C137" s="6" t="s">
        <v>639</v>
      </c>
      <c r="D137" s="6" t="s">
        <v>640</v>
      </c>
      <c r="E137" s="6" t="s">
        <v>301</v>
      </c>
      <c r="F137" s="6" t="s">
        <v>267</v>
      </c>
      <c r="G137" s="6" t="s">
        <v>330</v>
      </c>
    </row>
    <row r="138" spans="1:7" ht="60" customHeight="1" x14ac:dyDescent="0.35">
      <c r="A138" s="6">
        <v>47</v>
      </c>
      <c r="B138" s="6" t="s">
        <v>641</v>
      </c>
      <c r="C138" s="6" t="s">
        <v>642</v>
      </c>
      <c r="D138" s="6" t="s">
        <v>640</v>
      </c>
      <c r="E138" s="6" t="s">
        <v>271</v>
      </c>
      <c r="F138" s="6" t="s">
        <v>267</v>
      </c>
      <c r="G138" s="6" t="s">
        <v>333</v>
      </c>
    </row>
    <row r="139" spans="1:7" ht="60" customHeight="1" x14ac:dyDescent="0.35">
      <c r="A139" s="6">
        <v>47</v>
      </c>
      <c r="B139" s="6" t="s">
        <v>643</v>
      </c>
      <c r="C139" s="6" t="s">
        <v>642</v>
      </c>
      <c r="D139" s="6" t="s">
        <v>640</v>
      </c>
      <c r="E139" s="6" t="s">
        <v>272</v>
      </c>
      <c r="F139" s="6" t="s">
        <v>267</v>
      </c>
      <c r="G139" s="6" t="s">
        <v>333</v>
      </c>
    </row>
    <row r="140" spans="1:7" ht="60" customHeight="1" x14ac:dyDescent="0.35">
      <c r="A140" s="6">
        <v>48</v>
      </c>
      <c r="B140" s="6" t="s">
        <v>644</v>
      </c>
      <c r="C140" s="6" t="s">
        <v>645</v>
      </c>
      <c r="D140" s="6" t="s">
        <v>646</v>
      </c>
      <c r="E140" s="6" t="s">
        <v>272</v>
      </c>
      <c r="F140" s="6" t="s">
        <v>267</v>
      </c>
      <c r="G140" s="6" t="s">
        <v>330</v>
      </c>
    </row>
    <row r="141" spans="1:7" ht="75" customHeight="1" x14ac:dyDescent="0.35">
      <c r="A141" s="6">
        <v>49</v>
      </c>
      <c r="B141" s="6" t="s">
        <v>647</v>
      </c>
      <c r="C141" s="6" t="s">
        <v>648</v>
      </c>
      <c r="D141" s="6" t="s">
        <v>649</v>
      </c>
      <c r="E141" s="6" t="s">
        <v>259</v>
      </c>
      <c r="F141" s="6" t="s">
        <v>650</v>
      </c>
      <c r="G141" s="6" t="s">
        <v>330</v>
      </c>
    </row>
    <row r="142" spans="1:7" ht="60" customHeight="1" x14ac:dyDescent="0.35">
      <c r="A142" s="6">
        <v>49</v>
      </c>
      <c r="B142" s="6" t="s">
        <v>651</v>
      </c>
      <c r="C142" s="6" t="s">
        <v>652</v>
      </c>
      <c r="D142" s="6" t="s">
        <v>649</v>
      </c>
      <c r="E142" s="6" t="s">
        <v>221</v>
      </c>
      <c r="F142" s="6" t="s">
        <v>653</v>
      </c>
      <c r="G142" s="6" t="s">
        <v>333</v>
      </c>
    </row>
    <row r="143" spans="1:7" ht="60" customHeight="1" x14ac:dyDescent="0.35">
      <c r="A143" s="6">
        <v>49</v>
      </c>
      <c r="B143" s="6" t="s">
        <v>654</v>
      </c>
      <c r="C143" s="6" t="s">
        <v>652</v>
      </c>
      <c r="D143" s="6" t="s">
        <v>649</v>
      </c>
      <c r="E143" s="6" t="s">
        <v>221</v>
      </c>
      <c r="F143" s="6" t="s">
        <v>565</v>
      </c>
      <c r="G143" s="6" t="s">
        <v>333</v>
      </c>
    </row>
    <row r="144" spans="1:7" ht="60" customHeight="1" x14ac:dyDescent="0.35">
      <c r="A144" s="6">
        <v>50</v>
      </c>
      <c r="B144" s="6" t="s">
        <v>655</v>
      </c>
      <c r="C144" s="6" t="s">
        <v>656</v>
      </c>
      <c r="D144" s="6" t="s">
        <v>657</v>
      </c>
      <c r="E144" s="6" t="s">
        <v>467</v>
      </c>
      <c r="F144" s="6" t="s">
        <v>267</v>
      </c>
      <c r="G144" s="6" t="s">
        <v>330</v>
      </c>
    </row>
    <row r="145" spans="1:7" ht="135" customHeight="1" x14ac:dyDescent="0.35">
      <c r="A145" s="6">
        <v>50</v>
      </c>
      <c r="B145" s="6" t="s">
        <v>658</v>
      </c>
      <c r="C145" s="6" t="s">
        <v>659</v>
      </c>
      <c r="D145" s="6" t="s">
        <v>657</v>
      </c>
      <c r="E145" s="6" t="s">
        <v>91</v>
      </c>
      <c r="F145" s="6" t="s">
        <v>660</v>
      </c>
      <c r="G145" s="6" t="s">
        <v>333</v>
      </c>
    </row>
    <row r="146" spans="1:7" ht="135" customHeight="1" x14ac:dyDescent="0.35">
      <c r="A146" s="6">
        <v>50</v>
      </c>
      <c r="B146" s="6" t="s">
        <v>661</v>
      </c>
      <c r="C146" s="6" t="s">
        <v>659</v>
      </c>
      <c r="D146" s="6" t="s">
        <v>657</v>
      </c>
      <c r="E146" s="6" t="s">
        <v>66</v>
      </c>
      <c r="F146" s="6" t="s">
        <v>609</v>
      </c>
      <c r="G146" s="6" t="s">
        <v>333</v>
      </c>
    </row>
    <row r="147" spans="1:7" ht="60" customHeight="1" x14ac:dyDescent="0.35">
      <c r="A147" s="6">
        <v>51</v>
      </c>
      <c r="B147" s="6" t="s">
        <v>662</v>
      </c>
      <c r="C147" s="6" t="s">
        <v>656</v>
      </c>
      <c r="D147" s="6" t="s">
        <v>657</v>
      </c>
      <c r="E147" s="6" t="s">
        <v>467</v>
      </c>
      <c r="F147" s="6" t="s">
        <v>267</v>
      </c>
      <c r="G147" s="6" t="s">
        <v>330</v>
      </c>
    </row>
    <row r="148" spans="1:7" ht="135" customHeight="1" x14ac:dyDescent="0.35">
      <c r="A148" s="6">
        <v>51</v>
      </c>
      <c r="B148" s="6" t="s">
        <v>663</v>
      </c>
      <c r="C148" s="6" t="s">
        <v>659</v>
      </c>
      <c r="D148" s="6" t="s">
        <v>657</v>
      </c>
      <c r="E148" s="6" t="s">
        <v>91</v>
      </c>
      <c r="F148" s="6" t="s">
        <v>660</v>
      </c>
      <c r="G148" s="6" t="s">
        <v>333</v>
      </c>
    </row>
    <row r="149" spans="1:7" ht="135" customHeight="1" x14ac:dyDescent="0.35">
      <c r="A149" s="6">
        <v>51</v>
      </c>
      <c r="B149" s="6" t="s">
        <v>664</v>
      </c>
      <c r="C149" s="6" t="s">
        <v>659</v>
      </c>
      <c r="D149" s="6" t="s">
        <v>657</v>
      </c>
      <c r="E149" s="6" t="s">
        <v>66</v>
      </c>
      <c r="F149" s="6" t="s">
        <v>609</v>
      </c>
      <c r="G149" s="6" t="s">
        <v>333</v>
      </c>
    </row>
    <row r="150" spans="1:7" ht="90" customHeight="1" x14ac:dyDescent="0.35">
      <c r="A150" s="6">
        <v>52</v>
      </c>
      <c r="B150" s="6" t="s">
        <v>665</v>
      </c>
      <c r="C150" s="6" t="s">
        <v>666</v>
      </c>
      <c r="D150" s="6" t="s">
        <v>667</v>
      </c>
      <c r="E150" s="6" t="s">
        <v>114</v>
      </c>
      <c r="F150" s="6" t="s">
        <v>668</v>
      </c>
      <c r="G150" s="6" t="s">
        <v>330</v>
      </c>
    </row>
    <row r="151" spans="1:7" ht="90" customHeight="1" x14ac:dyDescent="0.35">
      <c r="A151" s="6">
        <v>52</v>
      </c>
      <c r="B151" s="6" t="s">
        <v>669</v>
      </c>
      <c r="C151" s="6" t="s">
        <v>670</v>
      </c>
      <c r="D151" s="6" t="s">
        <v>667</v>
      </c>
      <c r="E151" s="6" t="s">
        <v>66</v>
      </c>
      <c r="F151" s="6" t="s">
        <v>287</v>
      </c>
      <c r="G151" s="6" t="s">
        <v>333</v>
      </c>
    </row>
    <row r="152" spans="1:7" ht="75" customHeight="1" x14ac:dyDescent="0.35">
      <c r="A152" s="6">
        <v>53</v>
      </c>
      <c r="B152" s="6" t="s">
        <v>671</v>
      </c>
      <c r="C152" s="6" t="s">
        <v>672</v>
      </c>
      <c r="D152" s="6" t="s">
        <v>141</v>
      </c>
      <c r="E152" s="6" t="s">
        <v>289</v>
      </c>
      <c r="F152" s="6" t="s">
        <v>673</v>
      </c>
      <c r="G152" s="6" t="s">
        <v>330</v>
      </c>
    </row>
    <row r="153" spans="1:7" ht="105" customHeight="1" x14ac:dyDescent="0.35">
      <c r="A153" s="6">
        <v>53</v>
      </c>
      <c r="B153" s="6" t="s">
        <v>674</v>
      </c>
      <c r="C153" s="6" t="s">
        <v>675</v>
      </c>
      <c r="D153" s="6" t="s">
        <v>141</v>
      </c>
      <c r="E153" s="6" t="s">
        <v>36</v>
      </c>
      <c r="F153" s="6" t="s">
        <v>676</v>
      </c>
      <c r="G153" s="6" t="s">
        <v>333</v>
      </c>
    </row>
    <row r="154" spans="1:7" ht="105" customHeight="1" x14ac:dyDescent="0.35">
      <c r="A154" s="6">
        <v>53</v>
      </c>
      <c r="B154" s="6" t="s">
        <v>677</v>
      </c>
      <c r="C154" s="6" t="s">
        <v>675</v>
      </c>
      <c r="D154" s="6" t="s">
        <v>141</v>
      </c>
      <c r="E154" s="6" t="s">
        <v>36</v>
      </c>
      <c r="F154" s="6" t="s">
        <v>298</v>
      </c>
      <c r="G154" s="6" t="s">
        <v>333</v>
      </c>
    </row>
    <row r="155" spans="1:7" ht="105" customHeight="1" x14ac:dyDescent="0.35">
      <c r="A155" s="6">
        <v>53</v>
      </c>
      <c r="B155" s="6" t="s">
        <v>678</v>
      </c>
      <c r="C155" s="6" t="s">
        <v>675</v>
      </c>
      <c r="D155" s="6" t="s">
        <v>141</v>
      </c>
      <c r="E155" s="6" t="s">
        <v>36</v>
      </c>
      <c r="F155" s="6" t="s">
        <v>93</v>
      </c>
      <c r="G155" s="6" t="s">
        <v>333</v>
      </c>
    </row>
    <row r="156" spans="1:7" ht="120" customHeight="1" x14ac:dyDescent="0.35">
      <c r="A156" s="6">
        <v>54</v>
      </c>
      <c r="B156" s="6" t="s">
        <v>679</v>
      </c>
      <c r="C156" s="6" t="s">
        <v>680</v>
      </c>
      <c r="D156" s="6" t="s">
        <v>141</v>
      </c>
      <c r="E156" s="6" t="s">
        <v>100</v>
      </c>
      <c r="F156" s="6" t="s">
        <v>298</v>
      </c>
      <c r="G156" s="6" t="s">
        <v>333</v>
      </c>
    </row>
    <row r="157" spans="1:7" ht="120" customHeight="1" x14ac:dyDescent="0.35">
      <c r="A157" s="6">
        <v>54</v>
      </c>
      <c r="B157" s="6" t="s">
        <v>681</v>
      </c>
      <c r="C157" s="6" t="s">
        <v>680</v>
      </c>
      <c r="D157" s="6" t="s">
        <v>141</v>
      </c>
      <c r="E157" s="6" t="s">
        <v>100</v>
      </c>
      <c r="F157" s="6" t="s">
        <v>93</v>
      </c>
      <c r="G157" s="6" t="s">
        <v>333</v>
      </c>
    </row>
    <row r="158" spans="1:7" ht="90" customHeight="1" x14ac:dyDescent="0.35">
      <c r="A158" s="6">
        <v>54</v>
      </c>
      <c r="B158" s="6" t="s">
        <v>682</v>
      </c>
      <c r="C158" s="6" t="s">
        <v>683</v>
      </c>
      <c r="D158" s="6" t="s">
        <v>141</v>
      </c>
      <c r="E158" s="6" t="s">
        <v>684</v>
      </c>
      <c r="F158" s="6" t="s">
        <v>296</v>
      </c>
      <c r="G158" s="6" t="s">
        <v>330</v>
      </c>
    </row>
    <row r="159" spans="1:7" ht="135" customHeight="1" x14ac:dyDescent="0.35">
      <c r="A159" s="6">
        <v>55</v>
      </c>
      <c r="B159" s="6" t="s">
        <v>685</v>
      </c>
      <c r="C159" s="6" t="s">
        <v>686</v>
      </c>
      <c r="D159" s="6" t="s">
        <v>687</v>
      </c>
      <c r="E159" s="6" t="s">
        <v>301</v>
      </c>
      <c r="F159" s="6" t="s">
        <v>688</v>
      </c>
      <c r="G159" s="6" t="s">
        <v>330</v>
      </c>
    </row>
    <row r="160" spans="1:7" ht="30" customHeight="1" x14ac:dyDescent="0.35">
      <c r="A160" s="6">
        <v>55</v>
      </c>
      <c r="B160" s="6" t="s">
        <v>689</v>
      </c>
      <c r="C160" s="6" t="s">
        <v>690</v>
      </c>
      <c r="D160" s="6" t="s">
        <v>687</v>
      </c>
      <c r="E160" s="6" t="s">
        <v>303</v>
      </c>
      <c r="F160" s="6" t="s">
        <v>239</v>
      </c>
      <c r="G160" s="6" t="s">
        <v>333</v>
      </c>
    </row>
    <row r="161" spans="1:7" ht="120" customHeight="1" x14ac:dyDescent="0.35">
      <c r="A161" s="6">
        <v>56</v>
      </c>
      <c r="B161" s="6" t="s">
        <v>691</v>
      </c>
      <c r="C161" s="6" t="s">
        <v>692</v>
      </c>
      <c r="D161" s="6" t="s">
        <v>141</v>
      </c>
      <c r="E161" s="6" t="s">
        <v>240</v>
      </c>
      <c r="F161" s="6" t="s">
        <v>306</v>
      </c>
      <c r="G161" s="6" t="s">
        <v>333</v>
      </c>
    </row>
    <row r="162" spans="1:7" ht="120" customHeight="1" x14ac:dyDescent="0.35">
      <c r="A162" s="6">
        <v>56</v>
      </c>
      <c r="B162" s="6" t="s">
        <v>693</v>
      </c>
      <c r="C162" s="6" t="s">
        <v>692</v>
      </c>
      <c r="D162" s="6" t="s">
        <v>141</v>
      </c>
      <c r="E162" s="6" t="s">
        <v>139</v>
      </c>
      <c r="F162" s="6" t="s">
        <v>694</v>
      </c>
      <c r="G162" s="6" t="s">
        <v>333</v>
      </c>
    </row>
    <row r="163" spans="1:7" ht="60" customHeight="1" x14ac:dyDescent="0.35">
      <c r="A163" s="6">
        <v>56</v>
      </c>
      <c r="B163" s="6" t="s">
        <v>695</v>
      </c>
      <c r="C163" s="6" t="s">
        <v>696</v>
      </c>
      <c r="D163" s="6" t="s">
        <v>141</v>
      </c>
      <c r="E163" s="6" t="s">
        <v>301</v>
      </c>
      <c r="F163" s="6" t="s">
        <v>305</v>
      </c>
      <c r="G163" s="6" t="s">
        <v>330</v>
      </c>
    </row>
    <row r="164" spans="1:7" ht="75" customHeight="1" x14ac:dyDescent="0.35">
      <c r="A164" s="6">
        <v>57</v>
      </c>
      <c r="B164" s="6" t="s">
        <v>697</v>
      </c>
      <c r="C164" s="6" t="s">
        <v>698</v>
      </c>
      <c r="D164" s="6" t="s">
        <v>699</v>
      </c>
      <c r="E164" s="6" t="s">
        <v>310</v>
      </c>
      <c r="F164" s="6" t="s">
        <v>700</v>
      </c>
      <c r="G164" s="6" t="s">
        <v>330</v>
      </c>
    </row>
    <row r="165" spans="1:7" ht="135" customHeight="1" x14ac:dyDescent="0.35">
      <c r="A165" s="6">
        <v>57</v>
      </c>
      <c r="B165" s="6" t="s">
        <v>701</v>
      </c>
      <c r="C165" s="6" t="s">
        <v>702</v>
      </c>
      <c r="D165" s="6" t="s">
        <v>699</v>
      </c>
      <c r="E165" s="6" t="s">
        <v>312</v>
      </c>
      <c r="F165" s="6" t="s">
        <v>703</v>
      </c>
      <c r="G165" s="6" t="s">
        <v>333</v>
      </c>
    </row>
    <row r="166" spans="1:7" ht="135" customHeight="1" x14ac:dyDescent="0.35">
      <c r="A166" s="6">
        <v>57</v>
      </c>
      <c r="B166" s="6" t="s">
        <v>704</v>
      </c>
      <c r="C166" s="6" t="s">
        <v>702</v>
      </c>
      <c r="D166" s="6" t="s">
        <v>699</v>
      </c>
      <c r="E166" s="6" t="s">
        <v>314</v>
      </c>
      <c r="F166" s="6" t="s">
        <v>705</v>
      </c>
      <c r="G166" s="6" t="s">
        <v>333</v>
      </c>
    </row>
    <row r="167" spans="1:7" ht="75" customHeight="1" x14ac:dyDescent="0.35">
      <c r="A167" s="6">
        <v>58</v>
      </c>
      <c r="B167" s="6" t="s">
        <v>706</v>
      </c>
      <c r="C167" s="6" t="s">
        <v>707</v>
      </c>
      <c r="D167" s="6" t="s">
        <v>141</v>
      </c>
      <c r="E167" s="6" t="s">
        <v>171</v>
      </c>
      <c r="F167" s="6" t="s">
        <v>708</v>
      </c>
      <c r="G167" s="6" t="s">
        <v>330</v>
      </c>
    </row>
    <row r="168" spans="1:7" ht="75" customHeight="1" x14ac:dyDescent="0.35">
      <c r="A168" s="6">
        <v>58</v>
      </c>
      <c r="B168" s="6" t="s">
        <v>709</v>
      </c>
      <c r="C168" s="6" t="s">
        <v>707</v>
      </c>
      <c r="D168" s="6" t="s">
        <v>141</v>
      </c>
      <c r="E168" s="6" t="s">
        <v>710</v>
      </c>
      <c r="F168" s="6" t="s">
        <v>708</v>
      </c>
      <c r="G168" s="6" t="s">
        <v>330</v>
      </c>
    </row>
    <row r="169" spans="1:7" ht="75" customHeight="1" x14ac:dyDescent="0.35">
      <c r="A169" s="6">
        <v>58</v>
      </c>
      <c r="B169" s="6" t="s">
        <v>711</v>
      </c>
      <c r="C169" s="6" t="s">
        <v>707</v>
      </c>
      <c r="D169" s="6" t="s">
        <v>141</v>
      </c>
      <c r="E169" s="6" t="s">
        <v>710</v>
      </c>
      <c r="F169" s="6" t="s">
        <v>712</v>
      </c>
      <c r="G169" s="6" t="s">
        <v>330</v>
      </c>
    </row>
    <row r="170" spans="1:7" ht="75" customHeight="1" x14ac:dyDescent="0.35">
      <c r="A170" s="6">
        <v>58</v>
      </c>
      <c r="B170" s="6" t="s">
        <v>713</v>
      </c>
      <c r="C170" s="6" t="s">
        <v>707</v>
      </c>
      <c r="D170" s="6" t="s">
        <v>141</v>
      </c>
      <c r="E170" s="6" t="s">
        <v>171</v>
      </c>
      <c r="F170" s="6" t="s">
        <v>712</v>
      </c>
      <c r="G170" s="6" t="s">
        <v>330</v>
      </c>
    </row>
    <row r="171" spans="1:7" ht="135" customHeight="1" x14ac:dyDescent="0.35">
      <c r="A171" s="6">
        <v>58</v>
      </c>
      <c r="B171" s="6" t="s">
        <v>714</v>
      </c>
      <c r="C171" s="6" t="s">
        <v>715</v>
      </c>
      <c r="D171" s="6" t="s">
        <v>141</v>
      </c>
      <c r="E171" s="6" t="s">
        <v>320</v>
      </c>
      <c r="F171" s="6" t="s">
        <v>716</v>
      </c>
      <c r="G171" s="6" t="s">
        <v>333</v>
      </c>
    </row>
    <row r="172" spans="1:7" ht="135" customHeight="1" x14ac:dyDescent="0.35">
      <c r="A172" s="6">
        <v>58</v>
      </c>
      <c r="B172" s="6" t="s">
        <v>717</v>
      </c>
      <c r="C172" s="6" t="s">
        <v>715</v>
      </c>
      <c r="D172" s="6" t="s">
        <v>141</v>
      </c>
      <c r="E172" s="6" t="s">
        <v>59</v>
      </c>
      <c r="F172" s="6" t="s">
        <v>54</v>
      </c>
      <c r="G172" s="6" t="s">
        <v>333</v>
      </c>
    </row>
    <row r="173" spans="1:7" x14ac:dyDescent="0.35">
      <c r="A173" s="1"/>
      <c r="B173" s="1"/>
    </row>
    <row r="174" spans="1:7" x14ac:dyDescent="0.35">
      <c r="A174" s="1"/>
      <c r="B174" s="1"/>
    </row>
  </sheetData>
  <autoFilter ref="A1:G174" xr:uid="{00000000-0009-0000-0000-000002000000}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4"/>
  <sheetViews>
    <sheetView zoomScale="160" zoomScaleNormal="160" workbookViewId="0">
      <pane ySplit="1" topLeftCell="A63" activePane="bottomLeft" state="frozen"/>
      <selection pane="bottomLeft" activeCell="C2" sqref="C2:D68"/>
    </sheetView>
  </sheetViews>
  <sheetFormatPr defaultColWidth="9.1796875" defaultRowHeight="14.5" x14ac:dyDescent="0.35"/>
  <cols>
    <col min="1" max="1" width="18.7265625" bestFit="1" customWidth="1"/>
    <col min="2" max="2" width="10.26953125" bestFit="1" customWidth="1"/>
    <col min="3" max="3" width="16.1796875" customWidth="1"/>
    <col min="4" max="4" width="12.7265625" bestFit="1" customWidth="1"/>
    <col min="5" max="5" width="12.54296875" bestFit="1" customWidth="1"/>
    <col min="6" max="6" width="10.7265625" bestFit="1" customWidth="1"/>
    <col min="7" max="7" width="9.453125" bestFit="1" customWidth="1"/>
    <col min="8" max="8" width="13.1796875" bestFit="1" customWidth="1"/>
  </cols>
  <sheetData>
    <row r="1" spans="1:8" x14ac:dyDescent="0.35">
      <c r="A1" s="2" t="s">
        <v>322</v>
      </c>
      <c r="B1" s="2" t="s">
        <v>323</v>
      </c>
      <c r="C1" s="2" t="s">
        <v>8</v>
      </c>
      <c r="D1" s="2" t="s">
        <v>9</v>
      </c>
      <c r="E1" s="2" t="s">
        <v>324</v>
      </c>
      <c r="F1" s="2" t="s">
        <v>325</v>
      </c>
      <c r="G1" s="2" t="s">
        <v>326</v>
      </c>
      <c r="H1" s="2" t="s">
        <v>718</v>
      </c>
    </row>
    <row r="2" spans="1:8" ht="45" customHeight="1" x14ac:dyDescent="0.35">
      <c r="A2" s="6">
        <v>1</v>
      </c>
      <c r="B2" s="6" t="s">
        <v>327</v>
      </c>
      <c r="C2" s="6" t="s">
        <v>328</v>
      </c>
      <c r="D2" s="6" t="s">
        <v>329</v>
      </c>
      <c r="E2" s="6" t="s">
        <v>289</v>
      </c>
      <c r="F2" s="6" t="s">
        <v>54</v>
      </c>
      <c r="G2" s="6" t="s">
        <v>330</v>
      </c>
    </row>
    <row r="3" spans="1:8" ht="75" customHeight="1" x14ac:dyDescent="0.35">
      <c r="A3" s="6">
        <v>2</v>
      </c>
      <c r="B3" s="6" t="s">
        <v>334</v>
      </c>
      <c r="C3" s="6" t="s">
        <v>719</v>
      </c>
      <c r="D3" s="6" t="s">
        <v>336</v>
      </c>
      <c r="E3" s="6" t="s">
        <v>40</v>
      </c>
      <c r="F3" s="6" t="s">
        <v>337</v>
      </c>
      <c r="G3" s="6" t="s">
        <v>330</v>
      </c>
      <c r="H3" s="6" t="s">
        <v>720</v>
      </c>
    </row>
    <row r="4" spans="1:8" ht="60" customHeight="1" x14ac:dyDescent="0.35">
      <c r="A4" s="6">
        <v>2</v>
      </c>
      <c r="B4" s="6" t="s">
        <v>338</v>
      </c>
      <c r="C4" s="6" t="s">
        <v>721</v>
      </c>
      <c r="D4" s="6" t="s">
        <v>336</v>
      </c>
      <c r="E4" s="6" t="s">
        <v>42</v>
      </c>
      <c r="F4" s="6" t="s">
        <v>43</v>
      </c>
      <c r="G4" s="6" t="s">
        <v>330</v>
      </c>
      <c r="H4" s="6" t="s">
        <v>720</v>
      </c>
    </row>
    <row r="5" spans="1:8" ht="60" customHeight="1" x14ac:dyDescent="0.35">
      <c r="A5" s="6">
        <v>3</v>
      </c>
      <c r="B5" s="6" t="s">
        <v>344</v>
      </c>
      <c r="C5" s="6" t="s">
        <v>345</v>
      </c>
      <c r="D5" s="6" t="s">
        <v>346</v>
      </c>
      <c r="E5" s="6" t="s">
        <v>239</v>
      </c>
      <c r="F5" s="6" t="s">
        <v>347</v>
      </c>
      <c r="G5" s="6" t="s">
        <v>330</v>
      </c>
    </row>
    <row r="6" spans="1:8" ht="60" customHeight="1" x14ac:dyDescent="0.35">
      <c r="A6" s="6">
        <v>4</v>
      </c>
      <c r="B6" s="6" t="s">
        <v>351</v>
      </c>
      <c r="C6" s="6" t="s">
        <v>352</v>
      </c>
      <c r="D6" s="6" t="s">
        <v>353</v>
      </c>
      <c r="E6" s="6" t="s">
        <v>301</v>
      </c>
      <c r="F6" s="6" t="s">
        <v>354</v>
      </c>
      <c r="G6" s="6" t="s">
        <v>330</v>
      </c>
    </row>
    <row r="7" spans="1:8" ht="45" customHeight="1" x14ac:dyDescent="0.35">
      <c r="A7" s="6">
        <v>5</v>
      </c>
      <c r="B7" s="6" t="s">
        <v>359</v>
      </c>
      <c r="C7" s="6" t="s">
        <v>360</v>
      </c>
      <c r="D7" s="6" t="s">
        <v>346</v>
      </c>
      <c r="E7" s="6" t="s">
        <v>361</v>
      </c>
      <c r="F7" s="6" t="s">
        <v>93</v>
      </c>
      <c r="G7" s="6" t="s">
        <v>330</v>
      </c>
    </row>
    <row r="8" spans="1:8" ht="60" customHeight="1" x14ac:dyDescent="0.35">
      <c r="A8" s="6">
        <v>6</v>
      </c>
      <c r="B8" s="6" t="s">
        <v>369</v>
      </c>
      <c r="C8" s="6" t="s">
        <v>370</v>
      </c>
      <c r="D8" s="6" t="s">
        <v>346</v>
      </c>
      <c r="E8" s="6" t="s">
        <v>361</v>
      </c>
      <c r="F8" s="6" t="s">
        <v>371</v>
      </c>
      <c r="G8" s="6" t="s">
        <v>330</v>
      </c>
    </row>
    <row r="9" spans="1:8" ht="30" customHeight="1" x14ac:dyDescent="0.35">
      <c r="A9" s="6">
        <v>7</v>
      </c>
      <c r="B9" s="6" t="s">
        <v>377</v>
      </c>
      <c r="C9" s="6" t="s">
        <v>378</v>
      </c>
      <c r="D9" s="6" t="s">
        <v>346</v>
      </c>
      <c r="E9" s="6" t="s">
        <v>379</v>
      </c>
      <c r="F9" s="6" t="s">
        <v>380</v>
      </c>
      <c r="G9" s="6" t="s">
        <v>330</v>
      </c>
    </row>
    <row r="10" spans="1:8" ht="60" customHeight="1" x14ac:dyDescent="0.35">
      <c r="A10" s="6">
        <v>8</v>
      </c>
      <c r="B10" s="6" t="s">
        <v>384</v>
      </c>
      <c r="C10" s="6" t="s">
        <v>385</v>
      </c>
      <c r="D10" s="6" t="s">
        <v>346</v>
      </c>
      <c r="E10" s="6" t="s">
        <v>386</v>
      </c>
      <c r="F10" s="6" t="s">
        <v>387</v>
      </c>
      <c r="G10" s="6" t="s">
        <v>330</v>
      </c>
    </row>
    <row r="11" spans="1:8" ht="45" customHeight="1" x14ac:dyDescent="0.35">
      <c r="A11" s="6">
        <v>9</v>
      </c>
      <c r="B11" s="6" t="s">
        <v>390</v>
      </c>
      <c r="C11" s="6" t="s">
        <v>391</v>
      </c>
      <c r="D11" s="6" t="s">
        <v>346</v>
      </c>
      <c r="E11" s="6" t="s">
        <v>392</v>
      </c>
      <c r="F11" s="6" t="s">
        <v>93</v>
      </c>
      <c r="G11" s="6" t="s">
        <v>330</v>
      </c>
    </row>
    <row r="12" spans="1:8" ht="75" customHeight="1" x14ac:dyDescent="0.35">
      <c r="A12" s="6">
        <v>10</v>
      </c>
      <c r="B12" s="6" t="s">
        <v>397</v>
      </c>
      <c r="C12" s="6" t="s">
        <v>398</v>
      </c>
      <c r="D12" s="6" t="s">
        <v>141</v>
      </c>
      <c r="E12" s="6" t="s">
        <v>61</v>
      </c>
      <c r="F12" s="6" t="s">
        <v>399</v>
      </c>
      <c r="G12" s="6" t="s">
        <v>330</v>
      </c>
    </row>
    <row r="13" spans="1:8" ht="60" customHeight="1" x14ac:dyDescent="0.35">
      <c r="A13" s="6">
        <v>11</v>
      </c>
      <c r="B13" s="6" t="s">
        <v>401</v>
      </c>
      <c r="C13" s="6" t="s">
        <v>402</v>
      </c>
      <c r="D13" s="6" t="s">
        <v>141</v>
      </c>
      <c r="E13" s="6" t="s">
        <v>148</v>
      </c>
      <c r="F13" s="6" t="s">
        <v>403</v>
      </c>
      <c r="G13" s="6" t="s">
        <v>330</v>
      </c>
    </row>
    <row r="14" spans="1:8" ht="75" customHeight="1" x14ac:dyDescent="0.35">
      <c r="A14" s="6">
        <v>12</v>
      </c>
      <c r="B14" s="6" t="s">
        <v>406</v>
      </c>
      <c r="C14" s="6" t="s">
        <v>407</v>
      </c>
      <c r="D14" s="6" t="s">
        <v>141</v>
      </c>
      <c r="E14" s="6" t="s">
        <v>272</v>
      </c>
      <c r="F14" s="6" t="s">
        <v>93</v>
      </c>
      <c r="G14" s="6" t="s">
        <v>330</v>
      </c>
    </row>
    <row r="15" spans="1:8" ht="45" customHeight="1" x14ac:dyDescent="0.35">
      <c r="A15" s="6">
        <v>13</v>
      </c>
      <c r="B15" s="6" t="s">
        <v>413</v>
      </c>
      <c r="C15" s="6" t="s">
        <v>414</v>
      </c>
      <c r="D15" s="6" t="s">
        <v>141</v>
      </c>
      <c r="E15" s="6" t="s">
        <v>415</v>
      </c>
      <c r="F15" s="6" t="s">
        <v>416</v>
      </c>
      <c r="G15" s="6" t="s">
        <v>330</v>
      </c>
    </row>
    <row r="16" spans="1:8" ht="60" customHeight="1" x14ac:dyDescent="0.35">
      <c r="A16" s="6">
        <v>14</v>
      </c>
      <c r="B16" s="6" t="s">
        <v>421</v>
      </c>
      <c r="C16" s="6" t="s">
        <v>422</v>
      </c>
      <c r="D16" s="6" t="s">
        <v>141</v>
      </c>
      <c r="E16" s="6" t="s">
        <v>423</v>
      </c>
      <c r="F16" s="6" t="s">
        <v>416</v>
      </c>
      <c r="G16" s="6" t="s">
        <v>330</v>
      </c>
    </row>
    <row r="17" spans="1:8" ht="75" customHeight="1" x14ac:dyDescent="0.35">
      <c r="A17" s="6">
        <v>15</v>
      </c>
      <c r="B17" s="6" t="s">
        <v>428</v>
      </c>
      <c r="C17" s="6" t="s">
        <v>429</v>
      </c>
      <c r="D17" s="6" t="s">
        <v>141</v>
      </c>
      <c r="E17" s="6" t="s">
        <v>171</v>
      </c>
      <c r="F17" s="6" t="s">
        <v>430</v>
      </c>
      <c r="G17" s="6" t="s">
        <v>330</v>
      </c>
    </row>
    <row r="18" spans="1:8" ht="60" customHeight="1" x14ac:dyDescent="0.35">
      <c r="A18" s="6">
        <v>16</v>
      </c>
      <c r="B18" s="6" t="s">
        <v>435</v>
      </c>
      <c r="C18" s="6" t="s">
        <v>436</v>
      </c>
      <c r="D18" s="6" t="s">
        <v>141</v>
      </c>
      <c r="E18" s="6" t="s">
        <v>184</v>
      </c>
      <c r="F18" s="6" t="s">
        <v>437</v>
      </c>
      <c r="G18" s="6" t="s">
        <v>330</v>
      </c>
    </row>
    <row r="19" spans="1:8" ht="75" customHeight="1" x14ac:dyDescent="0.35">
      <c r="A19" s="6">
        <v>17</v>
      </c>
      <c r="B19" s="6" t="s">
        <v>441</v>
      </c>
      <c r="C19" s="6" t="s">
        <v>442</v>
      </c>
      <c r="D19" s="6" t="s">
        <v>141</v>
      </c>
      <c r="E19" s="6" t="s">
        <v>259</v>
      </c>
      <c r="F19" s="6" t="s">
        <v>443</v>
      </c>
      <c r="G19" s="6" t="s">
        <v>330</v>
      </c>
    </row>
    <row r="20" spans="1:8" ht="60" customHeight="1" x14ac:dyDescent="0.35">
      <c r="A20" s="6">
        <v>18</v>
      </c>
      <c r="B20" s="6" t="s">
        <v>447</v>
      </c>
      <c r="C20" s="6" t="s">
        <v>448</v>
      </c>
      <c r="D20" s="6" t="s">
        <v>141</v>
      </c>
      <c r="E20" s="6" t="s">
        <v>259</v>
      </c>
      <c r="F20" s="6" t="s">
        <v>449</v>
      </c>
      <c r="G20" s="6" t="s">
        <v>330</v>
      </c>
    </row>
    <row r="21" spans="1:8" ht="60" customHeight="1" x14ac:dyDescent="0.35">
      <c r="A21" s="6">
        <v>19</v>
      </c>
      <c r="B21" s="6" t="s">
        <v>452</v>
      </c>
      <c r="C21" s="6" t="s">
        <v>453</v>
      </c>
      <c r="D21" s="6" t="s">
        <v>141</v>
      </c>
      <c r="E21" s="6" t="s">
        <v>271</v>
      </c>
      <c r="F21" s="6" t="s">
        <v>221</v>
      </c>
      <c r="G21" s="6" t="s">
        <v>330</v>
      </c>
    </row>
    <row r="22" spans="1:8" ht="90" customHeight="1" x14ac:dyDescent="0.35">
      <c r="A22" s="6">
        <v>20</v>
      </c>
      <c r="B22" s="6" t="s">
        <v>458</v>
      </c>
      <c r="C22" s="6" t="s">
        <v>459</v>
      </c>
      <c r="D22" s="6" t="s">
        <v>141</v>
      </c>
      <c r="E22" s="6" t="s">
        <v>142</v>
      </c>
      <c r="F22" s="6" t="s">
        <v>93</v>
      </c>
      <c r="G22" s="6" t="s">
        <v>330</v>
      </c>
    </row>
    <row r="23" spans="1:8" ht="75" customHeight="1" x14ac:dyDescent="0.35">
      <c r="A23" s="6">
        <v>21</v>
      </c>
      <c r="B23" s="6" t="s">
        <v>460</v>
      </c>
      <c r="C23" s="6" t="s">
        <v>722</v>
      </c>
      <c r="D23" s="6" t="s">
        <v>462</v>
      </c>
      <c r="E23" s="6" t="s">
        <v>184</v>
      </c>
      <c r="F23" s="6" t="s">
        <v>463</v>
      </c>
      <c r="G23" s="6" t="s">
        <v>330</v>
      </c>
      <c r="H23" s="6" t="s">
        <v>720</v>
      </c>
    </row>
    <row r="24" spans="1:8" ht="75" customHeight="1" x14ac:dyDescent="0.35">
      <c r="A24" s="6">
        <v>21</v>
      </c>
      <c r="B24" s="6" t="s">
        <v>464</v>
      </c>
      <c r="C24" s="6" t="s">
        <v>723</v>
      </c>
      <c r="D24" s="6" t="s">
        <v>462</v>
      </c>
      <c r="E24" s="6" t="s">
        <v>184</v>
      </c>
      <c r="F24" s="6" t="s">
        <v>465</v>
      </c>
      <c r="G24" s="6" t="s">
        <v>330</v>
      </c>
      <c r="H24" s="6" t="s">
        <v>720</v>
      </c>
    </row>
    <row r="25" spans="1:8" ht="75" customHeight="1" x14ac:dyDescent="0.35">
      <c r="A25" s="6">
        <v>21</v>
      </c>
      <c r="B25" s="6" t="s">
        <v>466</v>
      </c>
      <c r="C25" s="6" t="s">
        <v>724</v>
      </c>
      <c r="D25" s="6" t="s">
        <v>462</v>
      </c>
      <c r="E25" s="6" t="s">
        <v>467</v>
      </c>
      <c r="F25" s="6" t="s">
        <v>463</v>
      </c>
      <c r="G25" s="6" t="s">
        <v>330</v>
      </c>
      <c r="H25" s="6" t="s">
        <v>720</v>
      </c>
    </row>
    <row r="26" spans="1:8" ht="75" customHeight="1" x14ac:dyDescent="0.35">
      <c r="A26" s="6">
        <v>21</v>
      </c>
      <c r="B26" s="6" t="s">
        <v>468</v>
      </c>
      <c r="C26" s="6" t="s">
        <v>725</v>
      </c>
      <c r="D26" s="6" t="s">
        <v>462</v>
      </c>
      <c r="E26" s="6" t="s">
        <v>467</v>
      </c>
      <c r="F26" s="6" t="s">
        <v>465</v>
      </c>
      <c r="G26" s="6" t="s">
        <v>330</v>
      </c>
      <c r="H26" s="6" t="s">
        <v>720</v>
      </c>
    </row>
    <row r="27" spans="1:8" ht="75" customHeight="1" x14ac:dyDescent="0.35">
      <c r="A27" s="6">
        <v>22</v>
      </c>
      <c r="B27" s="6" t="s">
        <v>474</v>
      </c>
      <c r="C27" s="6" t="s">
        <v>475</v>
      </c>
      <c r="D27" s="6" t="s">
        <v>462</v>
      </c>
      <c r="E27" s="6" t="s">
        <v>476</v>
      </c>
      <c r="F27" s="6" t="s">
        <v>477</v>
      </c>
      <c r="G27" s="6" t="s">
        <v>330</v>
      </c>
    </row>
    <row r="28" spans="1:8" ht="105" customHeight="1" x14ac:dyDescent="0.35">
      <c r="A28" s="6">
        <v>23</v>
      </c>
      <c r="B28" s="6" t="s">
        <v>483</v>
      </c>
      <c r="C28" s="6" t="s">
        <v>484</v>
      </c>
      <c r="D28" s="6" t="s">
        <v>462</v>
      </c>
      <c r="E28" s="6" t="s">
        <v>485</v>
      </c>
      <c r="F28" s="6" t="s">
        <v>486</v>
      </c>
      <c r="G28" s="6" t="s">
        <v>330</v>
      </c>
    </row>
    <row r="29" spans="1:8" ht="60" customHeight="1" x14ac:dyDescent="0.35">
      <c r="A29" s="6">
        <v>24</v>
      </c>
      <c r="B29" s="6" t="s">
        <v>489</v>
      </c>
      <c r="C29" s="6" t="s">
        <v>490</v>
      </c>
      <c r="D29" s="6" t="s">
        <v>141</v>
      </c>
      <c r="E29" s="6" t="s">
        <v>61</v>
      </c>
      <c r="F29" s="6" t="s">
        <v>491</v>
      </c>
      <c r="G29" s="6" t="s">
        <v>330</v>
      </c>
    </row>
    <row r="30" spans="1:8" ht="90" customHeight="1" x14ac:dyDescent="0.35">
      <c r="A30" s="6">
        <v>25</v>
      </c>
      <c r="B30" s="6" t="s">
        <v>494</v>
      </c>
      <c r="C30" s="6" t="s">
        <v>495</v>
      </c>
      <c r="D30" s="6" t="s">
        <v>496</v>
      </c>
      <c r="E30" s="6" t="s">
        <v>497</v>
      </c>
      <c r="F30" s="6" t="s">
        <v>239</v>
      </c>
      <c r="G30" s="6" t="s">
        <v>330</v>
      </c>
    </row>
    <row r="31" spans="1:8" ht="75" customHeight="1" x14ac:dyDescent="0.35">
      <c r="A31" s="6">
        <v>26</v>
      </c>
      <c r="B31" s="6" t="s">
        <v>501</v>
      </c>
      <c r="C31" s="6" t="s">
        <v>502</v>
      </c>
      <c r="D31" s="6" t="s">
        <v>496</v>
      </c>
      <c r="E31" s="6" t="s">
        <v>114</v>
      </c>
      <c r="F31" s="6" t="s">
        <v>503</v>
      </c>
      <c r="G31" s="6" t="s">
        <v>330</v>
      </c>
    </row>
    <row r="32" spans="1:8" ht="60" customHeight="1" x14ac:dyDescent="0.35">
      <c r="A32" s="6">
        <v>27</v>
      </c>
      <c r="B32" s="6" t="s">
        <v>507</v>
      </c>
      <c r="C32" s="6" t="s">
        <v>508</v>
      </c>
      <c r="D32" s="6" t="s">
        <v>141</v>
      </c>
      <c r="E32" s="6" t="s">
        <v>509</v>
      </c>
      <c r="F32" s="6" t="s">
        <v>510</v>
      </c>
      <c r="G32" s="6" t="s">
        <v>330</v>
      </c>
    </row>
    <row r="33" spans="1:10" ht="75" customHeight="1" x14ac:dyDescent="0.35">
      <c r="A33" s="6">
        <v>28</v>
      </c>
      <c r="B33" s="6" t="s">
        <v>514</v>
      </c>
      <c r="C33" s="6" t="s">
        <v>515</v>
      </c>
      <c r="D33" s="6" t="s">
        <v>141</v>
      </c>
      <c r="E33" s="6" t="s">
        <v>259</v>
      </c>
      <c r="F33" s="6" t="s">
        <v>516</v>
      </c>
      <c r="G33" s="6" t="s">
        <v>330</v>
      </c>
    </row>
    <row r="34" spans="1:10" ht="60" customHeight="1" x14ac:dyDescent="0.35">
      <c r="A34" s="6">
        <v>29</v>
      </c>
      <c r="B34" s="6" t="s">
        <v>522</v>
      </c>
      <c r="C34" s="6" t="s">
        <v>523</v>
      </c>
      <c r="D34" s="6" t="s">
        <v>141</v>
      </c>
      <c r="E34" s="6" t="s">
        <v>272</v>
      </c>
      <c r="F34" s="6" t="s">
        <v>524</v>
      </c>
      <c r="G34" s="6" t="s">
        <v>330</v>
      </c>
    </row>
    <row r="35" spans="1:10" ht="60" customHeight="1" x14ac:dyDescent="0.35">
      <c r="A35" s="6">
        <v>30</v>
      </c>
      <c r="B35" s="6" t="s">
        <v>527</v>
      </c>
      <c r="C35" s="6" t="s">
        <v>528</v>
      </c>
      <c r="D35" s="6" t="s">
        <v>141</v>
      </c>
      <c r="E35" s="6" t="s">
        <v>259</v>
      </c>
      <c r="F35" s="6" t="s">
        <v>529</v>
      </c>
      <c r="G35" s="6" t="s">
        <v>330</v>
      </c>
    </row>
    <row r="36" spans="1:10" ht="60" customHeight="1" x14ac:dyDescent="0.35">
      <c r="A36" s="6">
        <v>31</v>
      </c>
      <c r="B36" s="6" t="s">
        <v>532</v>
      </c>
      <c r="C36" s="6" t="s">
        <v>533</v>
      </c>
      <c r="D36" s="6" t="s">
        <v>346</v>
      </c>
      <c r="E36" s="6" t="s">
        <v>72</v>
      </c>
      <c r="F36" s="6" t="s">
        <v>534</v>
      </c>
      <c r="G36" s="6" t="s">
        <v>330</v>
      </c>
    </row>
    <row r="37" spans="1:10" ht="75" customHeight="1" x14ac:dyDescent="0.35">
      <c r="A37" s="6">
        <v>32</v>
      </c>
      <c r="B37" s="6" t="s">
        <v>535</v>
      </c>
      <c r="C37" s="6" t="s">
        <v>726</v>
      </c>
      <c r="D37" s="6" t="s">
        <v>141</v>
      </c>
      <c r="E37" s="6" t="s">
        <v>537</v>
      </c>
      <c r="F37" s="6" t="s">
        <v>538</v>
      </c>
      <c r="G37" s="6" t="s">
        <v>330</v>
      </c>
      <c r="H37" s="6" t="s">
        <v>720</v>
      </c>
      <c r="J37" s="6"/>
    </row>
    <row r="38" spans="1:10" ht="75" customHeight="1" x14ac:dyDescent="0.35">
      <c r="A38" s="6">
        <v>32</v>
      </c>
      <c r="B38" s="6" t="s">
        <v>539</v>
      </c>
      <c r="C38" s="6" t="s">
        <v>727</v>
      </c>
      <c r="D38" s="6" t="s">
        <v>141</v>
      </c>
      <c r="E38" s="6" t="s">
        <v>540</v>
      </c>
      <c r="F38" s="6" t="s">
        <v>538</v>
      </c>
      <c r="G38" s="6" t="s">
        <v>330</v>
      </c>
      <c r="H38" s="6" t="s">
        <v>720</v>
      </c>
    </row>
    <row r="39" spans="1:10" ht="75" customHeight="1" x14ac:dyDescent="0.35">
      <c r="A39" s="6">
        <v>33</v>
      </c>
      <c r="B39" s="6" t="s">
        <v>541</v>
      </c>
      <c r="C39" s="6" t="s">
        <v>542</v>
      </c>
      <c r="D39" s="6" t="s">
        <v>141</v>
      </c>
      <c r="E39" s="6" t="s">
        <v>170</v>
      </c>
      <c r="F39" s="6" t="s">
        <v>543</v>
      </c>
      <c r="G39" s="6" t="s">
        <v>330</v>
      </c>
    </row>
    <row r="40" spans="1:10" ht="60" customHeight="1" x14ac:dyDescent="0.35">
      <c r="A40" s="6">
        <v>34</v>
      </c>
      <c r="B40" s="6" t="s">
        <v>546</v>
      </c>
      <c r="C40" s="6" t="s">
        <v>547</v>
      </c>
      <c r="D40" s="6" t="s">
        <v>141</v>
      </c>
      <c r="E40" s="6" t="s">
        <v>497</v>
      </c>
      <c r="F40" s="6" t="s">
        <v>548</v>
      </c>
      <c r="G40" s="6" t="s">
        <v>330</v>
      </c>
    </row>
    <row r="41" spans="1:10" ht="60" customHeight="1" x14ac:dyDescent="0.35">
      <c r="A41" s="6">
        <v>35</v>
      </c>
      <c r="B41" s="6" t="s">
        <v>552</v>
      </c>
      <c r="C41" s="6" t="s">
        <v>553</v>
      </c>
      <c r="D41" s="6" t="s">
        <v>554</v>
      </c>
      <c r="E41" s="6" t="s">
        <v>272</v>
      </c>
      <c r="F41" s="6" t="s">
        <v>365</v>
      </c>
      <c r="G41" s="6" t="s">
        <v>330</v>
      </c>
    </row>
    <row r="42" spans="1:10" ht="75" customHeight="1" x14ac:dyDescent="0.35">
      <c r="A42" s="6">
        <v>36</v>
      </c>
      <c r="B42" s="6" t="s">
        <v>557</v>
      </c>
      <c r="C42" s="6" t="s">
        <v>558</v>
      </c>
      <c r="D42" s="6" t="s">
        <v>559</v>
      </c>
      <c r="E42" s="6" t="s">
        <v>259</v>
      </c>
      <c r="F42" s="6" t="s">
        <v>560</v>
      </c>
      <c r="G42" s="6" t="s">
        <v>330</v>
      </c>
    </row>
    <row r="43" spans="1:10" ht="60" customHeight="1" x14ac:dyDescent="0.35">
      <c r="A43" s="6">
        <v>37</v>
      </c>
      <c r="B43" s="6" t="s">
        <v>566</v>
      </c>
      <c r="C43" s="6" t="s">
        <v>567</v>
      </c>
      <c r="D43" s="6" t="s">
        <v>346</v>
      </c>
      <c r="E43" s="6" t="s">
        <v>239</v>
      </c>
      <c r="F43" s="6" t="s">
        <v>568</v>
      </c>
      <c r="G43" s="6" t="s">
        <v>330</v>
      </c>
    </row>
    <row r="44" spans="1:10" ht="120" customHeight="1" x14ac:dyDescent="0.35">
      <c r="A44" s="6">
        <v>38</v>
      </c>
      <c r="B44" s="6" t="s">
        <v>572</v>
      </c>
      <c r="C44" s="6" t="s">
        <v>728</v>
      </c>
      <c r="D44" s="6" t="s">
        <v>554</v>
      </c>
      <c r="E44" s="6" t="s">
        <v>574</v>
      </c>
      <c r="F44" s="6" t="s">
        <v>568</v>
      </c>
      <c r="G44" s="6" t="s">
        <v>330</v>
      </c>
      <c r="H44" s="6" t="s">
        <v>720</v>
      </c>
    </row>
    <row r="45" spans="1:10" ht="60" customHeight="1" x14ac:dyDescent="0.35">
      <c r="A45" s="6">
        <v>38</v>
      </c>
      <c r="B45" s="6" t="s">
        <v>575</v>
      </c>
      <c r="C45" s="6" t="s">
        <v>729</v>
      </c>
      <c r="D45" s="6" t="s">
        <v>554</v>
      </c>
      <c r="E45" s="6" t="s">
        <v>148</v>
      </c>
      <c r="F45" s="6" t="s">
        <v>150</v>
      </c>
      <c r="G45" s="6" t="s">
        <v>330</v>
      </c>
      <c r="H45" s="6" t="s">
        <v>720</v>
      </c>
    </row>
    <row r="46" spans="1:10" ht="60" customHeight="1" x14ac:dyDescent="0.35">
      <c r="A46" s="6">
        <v>39</v>
      </c>
      <c r="B46" s="6" t="s">
        <v>576</v>
      </c>
      <c r="C46" s="6" t="s">
        <v>577</v>
      </c>
      <c r="D46" s="6" t="s">
        <v>554</v>
      </c>
      <c r="E46" s="6" t="s">
        <v>100</v>
      </c>
      <c r="F46" s="6" t="s">
        <v>365</v>
      </c>
      <c r="G46" s="6" t="s">
        <v>330</v>
      </c>
    </row>
    <row r="47" spans="1:10" ht="45" customHeight="1" x14ac:dyDescent="0.35">
      <c r="A47" s="6">
        <v>40</v>
      </c>
      <c r="B47" s="6" t="s">
        <v>589</v>
      </c>
      <c r="C47" s="6" t="s">
        <v>590</v>
      </c>
      <c r="D47" s="6" t="s">
        <v>346</v>
      </c>
      <c r="E47" s="6" t="s">
        <v>591</v>
      </c>
      <c r="F47" s="6" t="s">
        <v>365</v>
      </c>
      <c r="G47" s="6" t="s">
        <v>330</v>
      </c>
    </row>
    <row r="48" spans="1:10" ht="105" customHeight="1" x14ac:dyDescent="0.35">
      <c r="A48" s="6">
        <v>41</v>
      </c>
      <c r="B48" s="6" t="s">
        <v>595</v>
      </c>
      <c r="C48" s="6" t="s">
        <v>596</v>
      </c>
      <c r="D48" s="6" t="s">
        <v>554</v>
      </c>
      <c r="E48" s="6" t="s">
        <v>100</v>
      </c>
      <c r="F48" s="6" t="s">
        <v>597</v>
      </c>
      <c r="G48" s="6" t="s">
        <v>330</v>
      </c>
    </row>
    <row r="49" spans="1:7" ht="90" customHeight="1" x14ac:dyDescent="0.35">
      <c r="A49" s="6">
        <v>42</v>
      </c>
      <c r="B49" s="6" t="s">
        <v>605</v>
      </c>
      <c r="C49" s="6" t="s">
        <v>606</v>
      </c>
      <c r="D49" s="6" t="s">
        <v>554</v>
      </c>
      <c r="E49" s="6" t="s">
        <v>184</v>
      </c>
      <c r="F49" s="6" t="s">
        <v>607</v>
      </c>
      <c r="G49" s="6" t="s">
        <v>330</v>
      </c>
    </row>
    <row r="50" spans="1:7" ht="90" customHeight="1" x14ac:dyDescent="0.35">
      <c r="A50" s="6">
        <v>43</v>
      </c>
      <c r="B50" s="6" t="s">
        <v>612</v>
      </c>
      <c r="C50" s="6" t="s">
        <v>613</v>
      </c>
      <c r="D50" s="6" t="s">
        <v>614</v>
      </c>
      <c r="E50" s="6" t="s">
        <v>114</v>
      </c>
      <c r="F50" s="6" t="s">
        <v>615</v>
      </c>
      <c r="G50" s="6" t="s">
        <v>330</v>
      </c>
    </row>
    <row r="51" spans="1:7" ht="60" customHeight="1" x14ac:dyDescent="0.35">
      <c r="A51" s="6">
        <v>44</v>
      </c>
      <c r="B51" s="6" t="s">
        <v>619</v>
      </c>
      <c r="C51" s="6" t="s">
        <v>620</v>
      </c>
      <c r="D51" s="6" t="s">
        <v>141</v>
      </c>
      <c r="E51" s="6" t="s">
        <v>259</v>
      </c>
      <c r="F51" s="6" t="s">
        <v>621</v>
      </c>
      <c r="G51" s="6" t="s">
        <v>330</v>
      </c>
    </row>
    <row r="52" spans="1:7" ht="90" customHeight="1" x14ac:dyDescent="0.35">
      <c r="A52" s="6">
        <v>45</v>
      </c>
      <c r="B52" s="6" t="s">
        <v>625</v>
      </c>
      <c r="C52" s="6" t="s">
        <v>626</v>
      </c>
      <c r="D52" s="6" t="s">
        <v>346</v>
      </c>
      <c r="E52" s="6" t="s">
        <v>162</v>
      </c>
      <c r="F52" s="6" t="s">
        <v>627</v>
      </c>
      <c r="G52" s="6" t="s">
        <v>330</v>
      </c>
    </row>
    <row r="53" spans="1:7" ht="45" customHeight="1" x14ac:dyDescent="0.35">
      <c r="A53" s="6">
        <v>46</v>
      </c>
      <c r="B53" s="6" t="s">
        <v>632</v>
      </c>
      <c r="C53" s="6" t="s">
        <v>633</v>
      </c>
      <c r="D53" s="6" t="s">
        <v>353</v>
      </c>
      <c r="E53" s="6" t="s">
        <v>239</v>
      </c>
      <c r="F53" s="6" t="s">
        <v>267</v>
      </c>
      <c r="G53" s="6" t="s">
        <v>330</v>
      </c>
    </row>
    <row r="54" spans="1:7" ht="60" customHeight="1" x14ac:dyDescent="0.35">
      <c r="A54" s="6">
        <v>47</v>
      </c>
      <c r="B54" s="6" t="s">
        <v>638</v>
      </c>
      <c r="C54" s="6" t="s">
        <v>639</v>
      </c>
      <c r="D54" s="6" t="s">
        <v>640</v>
      </c>
      <c r="E54" s="6" t="s">
        <v>301</v>
      </c>
      <c r="F54" s="6" t="s">
        <v>267</v>
      </c>
      <c r="G54" s="6" t="s">
        <v>330</v>
      </c>
    </row>
    <row r="55" spans="1:7" ht="60" customHeight="1" x14ac:dyDescent="0.35">
      <c r="A55" s="6">
        <v>48</v>
      </c>
      <c r="B55" s="6" t="s">
        <v>644</v>
      </c>
      <c r="C55" s="6" t="s">
        <v>645</v>
      </c>
      <c r="D55" s="6" t="s">
        <v>646</v>
      </c>
      <c r="E55" s="6" t="s">
        <v>272</v>
      </c>
      <c r="F55" s="6" t="s">
        <v>267</v>
      </c>
      <c r="G55" s="6" t="s">
        <v>330</v>
      </c>
    </row>
    <row r="56" spans="1:7" ht="75" customHeight="1" x14ac:dyDescent="0.35">
      <c r="A56" s="6">
        <v>49</v>
      </c>
      <c r="B56" s="6" t="s">
        <v>647</v>
      </c>
      <c r="C56" s="6" t="s">
        <v>648</v>
      </c>
      <c r="D56" s="6" t="s">
        <v>649</v>
      </c>
      <c r="E56" s="6" t="s">
        <v>259</v>
      </c>
      <c r="F56" s="6" t="s">
        <v>650</v>
      </c>
      <c r="G56" s="6" t="s">
        <v>330</v>
      </c>
    </row>
    <row r="57" spans="1:7" ht="60" customHeight="1" x14ac:dyDescent="0.35">
      <c r="A57" s="6">
        <v>50</v>
      </c>
      <c r="B57" s="6" t="s">
        <v>655</v>
      </c>
      <c r="C57" s="6" t="s">
        <v>656</v>
      </c>
      <c r="D57" s="6" t="s">
        <v>657</v>
      </c>
      <c r="E57" s="6" t="s">
        <v>467</v>
      </c>
      <c r="F57" s="6" t="s">
        <v>267</v>
      </c>
      <c r="G57" s="6" t="s">
        <v>330</v>
      </c>
    </row>
    <row r="58" spans="1:7" ht="60" customHeight="1" x14ac:dyDescent="0.35">
      <c r="A58" s="6">
        <v>51</v>
      </c>
      <c r="B58" s="6" t="s">
        <v>662</v>
      </c>
      <c r="C58" s="6" t="s">
        <v>656</v>
      </c>
      <c r="D58" s="6" t="s">
        <v>657</v>
      </c>
      <c r="E58" s="6" t="s">
        <v>467</v>
      </c>
      <c r="F58" s="6" t="s">
        <v>267</v>
      </c>
      <c r="G58" s="6" t="s">
        <v>330</v>
      </c>
    </row>
    <row r="59" spans="1:7" ht="90" customHeight="1" x14ac:dyDescent="0.35">
      <c r="A59" s="6">
        <v>52</v>
      </c>
      <c r="B59" s="6" t="s">
        <v>665</v>
      </c>
      <c r="C59" s="6" t="s">
        <v>666</v>
      </c>
      <c r="D59" s="6" t="s">
        <v>667</v>
      </c>
      <c r="E59" s="6" t="s">
        <v>114</v>
      </c>
      <c r="F59" s="6" t="s">
        <v>668</v>
      </c>
      <c r="G59" s="6" t="s">
        <v>330</v>
      </c>
    </row>
    <row r="60" spans="1:7" ht="75" customHeight="1" x14ac:dyDescent="0.35">
      <c r="A60" s="6">
        <v>53</v>
      </c>
      <c r="B60" s="6" t="s">
        <v>671</v>
      </c>
      <c r="C60" s="6" t="s">
        <v>672</v>
      </c>
      <c r="D60" s="6" t="s">
        <v>141</v>
      </c>
      <c r="E60" s="6" t="s">
        <v>289</v>
      </c>
      <c r="F60" s="6" t="s">
        <v>673</v>
      </c>
      <c r="G60" s="6" t="s">
        <v>330</v>
      </c>
    </row>
    <row r="61" spans="1:7" ht="90" customHeight="1" x14ac:dyDescent="0.35">
      <c r="A61" s="6">
        <v>54</v>
      </c>
      <c r="B61" s="6" t="s">
        <v>682</v>
      </c>
      <c r="C61" s="6" t="s">
        <v>683</v>
      </c>
      <c r="D61" s="6" t="s">
        <v>141</v>
      </c>
      <c r="E61" s="6" t="s">
        <v>684</v>
      </c>
      <c r="F61" s="6" t="s">
        <v>296</v>
      </c>
      <c r="G61" s="6" t="s">
        <v>330</v>
      </c>
    </row>
    <row r="62" spans="1:7" ht="135" customHeight="1" x14ac:dyDescent="0.35">
      <c r="A62" s="6">
        <v>55</v>
      </c>
      <c r="B62" s="6" t="s">
        <v>685</v>
      </c>
      <c r="C62" s="6" t="s">
        <v>686</v>
      </c>
      <c r="D62" s="6" t="s">
        <v>687</v>
      </c>
      <c r="E62" s="6" t="s">
        <v>301</v>
      </c>
      <c r="F62" s="6" t="s">
        <v>688</v>
      </c>
      <c r="G62" s="6" t="s">
        <v>330</v>
      </c>
    </row>
    <row r="63" spans="1:7" ht="60" customHeight="1" x14ac:dyDescent="0.35">
      <c r="A63" s="6">
        <v>56</v>
      </c>
      <c r="B63" s="6" t="s">
        <v>695</v>
      </c>
      <c r="C63" s="6" t="s">
        <v>696</v>
      </c>
      <c r="D63" s="6" t="s">
        <v>141</v>
      </c>
      <c r="E63" s="6" t="s">
        <v>301</v>
      </c>
      <c r="F63" s="6" t="s">
        <v>305</v>
      </c>
      <c r="G63" s="6" t="s">
        <v>330</v>
      </c>
    </row>
    <row r="64" spans="1:7" ht="75" customHeight="1" x14ac:dyDescent="0.35">
      <c r="A64" s="6">
        <v>57</v>
      </c>
      <c r="B64" s="6" t="s">
        <v>697</v>
      </c>
      <c r="C64" s="6" t="s">
        <v>698</v>
      </c>
      <c r="D64" s="6" t="s">
        <v>699</v>
      </c>
      <c r="E64" s="6" t="s">
        <v>310</v>
      </c>
      <c r="F64" s="6" t="s">
        <v>700</v>
      </c>
      <c r="G64" s="6" t="s">
        <v>330</v>
      </c>
    </row>
    <row r="65" spans="1:8" ht="60" customHeight="1" x14ac:dyDescent="0.35">
      <c r="A65" s="6">
        <v>58</v>
      </c>
      <c r="B65" s="6" t="s">
        <v>706</v>
      </c>
      <c r="C65" s="6" t="s">
        <v>730</v>
      </c>
      <c r="D65" s="6" t="s">
        <v>141</v>
      </c>
      <c r="E65" s="6" t="s">
        <v>171</v>
      </c>
      <c r="F65" s="6" t="s">
        <v>708</v>
      </c>
      <c r="G65" s="6" t="s">
        <v>330</v>
      </c>
      <c r="H65" s="6" t="s">
        <v>720</v>
      </c>
    </row>
    <row r="66" spans="1:8" ht="45" customHeight="1" x14ac:dyDescent="0.35">
      <c r="A66" s="6">
        <v>58</v>
      </c>
      <c r="B66" s="6" t="s">
        <v>709</v>
      </c>
      <c r="C66" s="6" t="s">
        <v>731</v>
      </c>
      <c r="D66" s="6" t="s">
        <v>141</v>
      </c>
      <c r="E66" s="6" t="s">
        <v>710</v>
      </c>
      <c r="F66" s="6" t="s">
        <v>708</v>
      </c>
      <c r="G66" s="6" t="s">
        <v>330</v>
      </c>
      <c r="H66" s="6" t="s">
        <v>720</v>
      </c>
    </row>
    <row r="67" spans="1:8" ht="45" customHeight="1" x14ac:dyDescent="0.35">
      <c r="A67" s="6">
        <v>58</v>
      </c>
      <c r="B67" s="6" t="s">
        <v>711</v>
      </c>
      <c r="C67" s="6" t="s">
        <v>732</v>
      </c>
      <c r="D67" s="6" t="s">
        <v>141</v>
      </c>
      <c r="E67" s="6" t="s">
        <v>710</v>
      </c>
      <c r="F67" s="6" t="s">
        <v>712</v>
      </c>
      <c r="G67" s="6" t="s">
        <v>330</v>
      </c>
      <c r="H67" s="6" t="s">
        <v>720</v>
      </c>
    </row>
    <row r="68" spans="1:8" ht="45" customHeight="1" x14ac:dyDescent="0.35">
      <c r="A68" s="6">
        <v>58</v>
      </c>
      <c r="B68" s="6" t="s">
        <v>713</v>
      </c>
      <c r="C68" s="6" t="s">
        <v>733</v>
      </c>
      <c r="D68" s="6" t="s">
        <v>141</v>
      </c>
      <c r="E68" s="6" t="s">
        <v>171</v>
      </c>
      <c r="F68" s="6" t="s">
        <v>712</v>
      </c>
      <c r="G68" s="6" t="s">
        <v>330</v>
      </c>
      <c r="H68" s="6" t="s">
        <v>720</v>
      </c>
    </row>
    <row r="69" spans="1:8" x14ac:dyDescent="0.35">
      <c r="A69" s="6"/>
      <c r="B69" s="6"/>
      <c r="C69" s="6"/>
      <c r="D69" s="6"/>
      <c r="E69" s="6"/>
      <c r="F69" s="6"/>
      <c r="G69" s="6"/>
    </row>
    <row r="70" spans="1:8" x14ac:dyDescent="0.35">
      <c r="A70" s="6"/>
      <c r="B70" s="6"/>
      <c r="C70" s="6"/>
      <c r="D70" s="6"/>
      <c r="E70" s="6"/>
      <c r="F70" s="6"/>
      <c r="G70" s="6"/>
    </row>
    <row r="71" spans="1:8" x14ac:dyDescent="0.35">
      <c r="A71" s="6"/>
      <c r="B71" s="6"/>
      <c r="C71" s="6"/>
      <c r="D71" s="6"/>
      <c r="E71" s="6"/>
      <c r="F71" s="6"/>
      <c r="G71" s="6"/>
    </row>
    <row r="72" spans="1:8" x14ac:dyDescent="0.35">
      <c r="A72" s="6"/>
      <c r="B72" s="6"/>
      <c r="C72" s="6"/>
      <c r="D72" s="6"/>
      <c r="E72" s="6"/>
      <c r="F72" s="6"/>
      <c r="G72" s="6"/>
    </row>
    <row r="73" spans="1:8" x14ac:dyDescent="0.35">
      <c r="A73" s="6"/>
      <c r="B73" s="6"/>
      <c r="C73" s="6"/>
      <c r="D73" s="6"/>
      <c r="E73" s="6"/>
      <c r="F73" s="6"/>
      <c r="G73" s="6"/>
    </row>
    <row r="74" spans="1:8" x14ac:dyDescent="0.35">
      <c r="A74" s="6"/>
      <c r="B74" s="6"/>
      <c r="C74" s="6"/>
      <c r="D74" s="6"/>
      <c r="E74" s="6"/>
      <c r="F74" s="6"/>
      <c r="G74" s="6"/>
    </row>
    <row r="75" spans="1:8" x14ac:dyDescent="0.35">
      <c r="A75" s="6"/>
      <c r="B75" s="6"/>
      <c r="C75" s="6"/>
      <c r="D75" s="6"/>
      <c r="E75" s="6"/>
      <c r="F75" s="6"/>
      <c r="G75" s="6"/>
    </row>
    <row r="76" spans="1:8" x14ac:dyDescent="0.35">
      <c r="A76" s="6"/>
      <c r="B76" s="6"/>
      <c r="C76" s="6"/>
      <c r="D76" s="6"/>
      <c r="E76" s="6"/>
      <c r="F76" s="6"/>
      <c r="G76" s="6"/>
    </row>
    <row r="77" spans="1:8" x14ac:dyDescent="0.35">
      <c r="A77" s="6"/>
      <c r="B77" s="6"/>
      <c r="C77" s="6"/>
      <c r="D77" s="6"/>
      <c r="E77" s="6"/>
      <c r="F77" s="6"/>
      <c r="G77" s="6"/>
    </row>
    <row r="78" spans="1:8" x14ac:dyDescent="0.35">
      <c r="A78" s="6"/>
      <c r="B78" s="6"/>
      <c r="C78" s="6"/>
      <c r="D78" s="6"/>
      <c r="E78" s="6"/>
      <c r="F78" s="6"/>
      <c r="G78" s="6"/>
    </row>
    <row r="79" spans="1:8" x14ac:dyDescent="0.35">
      <c r="A79" s="6"/>
      <c r="B79" s="6"/>
      <c r="C79" s="6"/>
      <c r="D79" s="6"/>
      <c r="E79" s="6"/>
      <c r="F79" s="6"/>
      <c r="G79" s="6"/>
    </row>
    <row r="80" spans="1:8" x14ac:dyDescent="0.35">
      <c r="A80" s="6"/>
      <c r="B80" s="6"/>
      <c r="C80" s="6"/>
      <c r="D80" s="6"/>
      <c r="E80" s="6"/>
      <c r="F80" s="6"/>
      <c r="G80" s="6"/>
    </row>
    <row r="81" spans="1:7" x14ac:dyDescent="0.35">
      <c r="A81" s="6"/>
      <c r="B81" s="6"/>
      <c r="C81" s="6"/>
      <c r="D81" s="6"/>
      <c r="E81" s="6"/>
      <c r="F81" s="6"/>
      <c r="G81" s="6"/>
    </row>
    <row r="82" spans="1:7" x14ac:dyDescent="0.35">
      <c r="A82" s="6"/>
      <c r="B82" s="6"/>
      <c r="C82" s="6"/>
      <c r="D82" s="6"/>
      <c r="E82" s="6"/>
      <c r="F82" s="6"/>
      <c r="G82" s="6"/>
    </row>
    <row r="83" spans="1:7" x14ac:dyDescent="0.35">
      <c r="A83" s="6"/>
      <c r="B83" s="6"/>
      <c r="C83" s="6"/>
      <c r="D83" s="6"/>
      <c r="E83" s="6"/>
      <c r="F83" s="6"/>
      <c r="G83" s="6"/>
    </row>
    <row r="84" spans="1:7" x14ac:dyDescent="0.35">
      <c r="A84" s="6"/>
      <c r="B84" s="6"/>
      <c r="C84" s="6"/>
      <c r="D84" s="6"/>
      <c r="E84" s="6"/>
      <c r="F84" s="6"/>
      <c r="G84" s="6"/>
    </row>
    <row r="85" spans="1:7" x14ac:dyDescent="0.35">
      <c r="A85" s="6"/>
      <c r="B85" s="6"/>
      <c r="C85" s="6"/>
      <c r="D85" s="6"/>
      <c r="E85" s="6"/>
      <c r="F85" s="6"/>
      <c r="G85" s="6"/>
    </row>
    <row r="86" spans="1:7" x14ac:dyDescent="0.35">
      <c r="A86" s="6"/>
      <c r="B86" s="6"/>
      <c r="C86" s="6"/>
      <c r="D86" s="6"/>
      <c r="E86" s="6"/>
      <c r="F86" s="6"/>
      <c r="G86" s="6"/>
    </row>
    <row r="87" spans="1:7" x14ac:dyDescent="0.35">
      <c r="A87" s="6"/>
      <c r="B87" s="6"/>
      <c r="C87" s="6"/>
      <c r="D87" s="6"/>
      <c r="E87" s="6"/>
      <c r="F87" s="6"/>
      <c r="G87" s="6"/>
    </row>
    <row r="88" spans="1:7" x14ac:dyDescent="0.35">
      <c r="A88" s="6"/>
      <c r="B88" s="6"/>
      <c r="C88" s="6"/>
      <c r="D88" s="6"/>
      <c r="E88" s="6"/>
      <c r="F88" s="6"/>
      <c r="G88" s="6"/>
    </row>
    <row r="89" spans="1:7" x14ac:dyDescent="0.35">
      <c r="A89" s="6"/>
      <c r="B89" s="6"/>
      <c r="C89" s="6"/>
      <c r="D89" s="6"/>
      <c r="E89" s="6"/>
      <c r="F89" s="6"/>
      <c r="G89" s="6"/>
    </row>
    <row r="90" spans="1:7" x14ac:dyDescent="0.35">
      <c r="A90" s="6"/>
      <c r="B90" s="6"/>
      <c r="C90" s="6"/>
      <c r="D90" s="6"/>
      <c r="E90" s="6"/>
      <c r="F90" s="6"/>
      <c r="G90" s="6"/>
    </row>
    <row r="91" spans="1:7" x14ac:dyDescent="0.35">
      <c r="A91" s="6"/>
      <c r="B91" s="6"/>
      <c r="C91" s="6"/>
      <c r="D91" s="6"/>
      <c r="E91" s="6"/>
      <c r="F91" s="6"/>
      <c r="G91" s="6"/>
    </row>
    <row r="92" spans="1:7" x14ac:dyDescent="0.35">
      <c r="A92" s="6"/>
      <c r="B92" s="6"/>
      <c r="C92" s="6"/>
      <c r="D92" s="6"/>
      <c r="E92" s="6"/>
      <c r="F92" s="6"/>
      <c r="G92" s="6"/>
    </row>
    <row r="93" spans="1:7" x14ac:dyDescent="0.35">
      <c r="A93" s="6"/>
      <c r="B93" s="6"/>
      <c r="C93" s="6"/>
      <c r="D93" s="6"/>
      <c r="E93" s="6"/>
      <c r="F93" s="6"/>
      <c r="G93" s="6"/>
    </row>
    <row r="94" spans="1:7" x14ac:dyDescent="0.35">
      <c r="A94" s="6"/>
      <c r="B94" s="6"/>
      <c r="C94" s="6"/>
      <c r="D94" s="6"/>
      <c r="E94" s="6"/>
      <c r="F94" s="6"/>
      <c r="G94" s="6"/>
    </row>
    <row r="95" spans="1:7" x14ac:dyDescent="0.35">
      <c r="A95" s="6"/>
      <c r="B95" s="6"/>
      <c r="C95" s="6"/>
      <c r="D95" s="6"/>
      <c r="E95" s="6"/>
      <c r="F95" s="6"/>
      <c r="G95" s="6"/>
    </row>
    <row r="96" spans="1:7" x14ac:dyDescent="0.35">
      <c r="A96" s="6"/>
      <c r="B96" s="6"/>
      <c r="C96" s="6"/>
      <c r="D96" s="6"/>
      <c r="E96" s="6"/>
      <c r="F96" s="6"/>
      <c r="G96" s="6"/>
    </row>
    <row r="97" spans="1:7" x14ac:dyDescent="0.35">
      <c r="A97" s="6"/>
      <c r="B97" s="6"/>
      <c r="C97" s="6"/>
      <c r="D97" s="6"/>
      <c r="E97" s="6"/>
      <c r="F97" s="6"/>
      <c r="G97" s="6"/>
    </row>
    <row r="98" spans="1:7" x14ac:dyDescent="0.35">
      <c r="A98" s="6"/>
      <c r="B98" s="6"/>
      <c r="C98" s="6"/>
      <c r="D98" s="6"/>
      <c r="E98" s="6"/>
      <c r="F98" s="6"/>
      <c r="G98" s="6"/>
    </row>
    <row r="99" spans="1:7" x14ac:dyDescent="0.35">
      <c r="A99" s="6"/>
      <c r="B99" s="6"/>
      <c r="C99" s="6"/>
      <c r="D99" s="6"/>
      <c r="E99" s="6"/>
      <c r="F99" s="6"/>
      <c r="G99" s="6"/>
    </row>
    <row r="100" spans="1:7" x14ac:dyDescent="0.35">
      <c r="A100" s="6"/>
      <c r="B100" s="6"/>
      <c r="C100" s="6"/>
      <c r="D100" s="6"/>
      <c r="E100" s="6"/>
      <c r="F100" s="6"/>
      <c r="G100" s="6"/>
    </row>
    <row r="101" spans="1:7" x14ac:dyDescent="0.35">
      <c r="A101" s="6"/>
      <c r="B101" s="6"/>
      <c r="C101" s="6"/>
      <c r="D101" s="6"/>
      <c r="E101" s="6"/>
      <c r="F101" s="6"/>
      <c r="G101" s="6"/>
    </row>
    <row r="102" spans="1:7" x14ac:dyDescent="0.35">
      <c r="A102" s="6"/>
      <c r="B102" s="6"/>
      <c r="C102" s="6"/>
      <c r="D102" s="6"/>
      <c r="E102" s="6"/>
      <c r="F102" s="6"/>
      <c r="G102" s="6"/>
    </row>
    <row r="103" spans="1:7" x14ac:dyDescent="0.35">
      <c r="A103" s="6"/>
      <c r="B103" s="6"/>
      <c r="C103" s="6"/>
      <c r="D103" s="6"/>
      <c r="E103" s="6"/>
      <c r="F103" s="6"/>
      <c r="G103" s="6"/>
    </row>
    <row r="104" spans="1:7" x14ac:dyDescent="0.35">
      <c r="A104" s="6"/>
      <c r="B104" s="6"/>
      <c r="C104" s="6"/>
      <c r="D104" s="6"/>
      <c r="E104" s="6"/>
      <c r="F104" s="6"/>
      <c r="G104" s="6"/>
    </row>
    <row r="105" spans="1:7" x14ac:dyDescent="0.35">
      <c r="A105" s="6"/>
      <c r="B105" s="6"/>
      <c r="C105" s="6"/>
      <c r="D105" s="6"/>
      <c r="E105" s="6"/>
      <c r="F105" s="6"/>
      <c r="G105" s="6"/>
    </row>
    <row r="106" spans="1:7" x14ac:dyDescent="0.35">
      <c r="A106" s="6"/>
      <c r="B106" s="6"/>
      <c r="C106" s="6"/>
      <c r="D106" s="6"/>
      <c r="E106" s="6"/>
      <c r="F106" s="6"/>
      <c r="G106" s="6"/>
    </row>
    <row r="107" spans="1:7" x14ac:dyDescent="0.35">
      <c r="A107" s="6"/>
      <c r="B107" s="6"/>
      <c r="C107" s="6"/>
      <c r="D107" s="6"/>
      <c r="E107" s="6"/>
      <c r="F107" s="6"/>
      <c r="G107" s="6"/>
    </row>
    <row r="108" spans="1:7" x14ac:dyDescent="0.35">
      <c r="A108" s="6"/>
      <c r="B108" s="6"/>
      <c r="C108" s="6"/>
      <c r="D108" s="6"/>
      <c r="E108" s="6"/>
      <c r="F108" s="6"/>
      <c r="G108" s="6"/>
    </row>
    <row r="109" spans="1:7" x14ac:dyDescent="0.35">
      <c r="A109" s="6"/>
      <c r="B109" s="6"/>
      <c r="C109" s="6"/>
      <c r="D109" s="6"/>
      <c r="E109" s="6"/>
      <c r="F109" s="6"/>
      <c r="G109" s="6"/>
    </row>
    <row r="110" spans="1:7" x14ac:dyDescent="0.35">
      <c r="A110" s="6"/>
      <c r="B110" s="6"/>
      <c r="C110" s="6"/>
      <c r="D110" s="6"/>
      <c r="E110" s="6"/>
      <c r="F110" s="6"/>
      <c r="G110" s="6"/>
    </row>
    <row r="111" spans="1:7" x14ac:dyDescent="0.35">
      <c r="A111" s="6"/>
      <c r="B111" s="6"/>
      <c r="C111" s="6"/>
      <c r="D111" s="6"/>
      <c r="E111" s="6"/>
      <c r="F111" s="6"/>
      <c r="G111" s="6"/>
    </row>
    <row r="112" spans="1:7" x14ac:dyDescent="0.35">
      <c r="A112" s="6"/>
      <c r="B112" s="6"/>
      <c r="C112" s="6"/>
      <c r="D112" s="6"/>
      <c r="E112" s="6"/>
      <c r="F112" s="6"/>
      <c r="G112" s="6"/>
    </row>
    <row r="113" spans="1:7" x14ac:dyDescent="0.35">
      <c r="A113" s="6"/>
      <c r="B113" s="6"/>
      <c r="C113" s="6"/>
      <c r="D113" s="6"/>
      <c r="E113" s="6"/>
      <c r="F113" s="6"/>
      <c r="G113" s="6"/>
    </row>
    <row r="114" spans="1:7" x14ac:dyDescent="0.35">
      <c r="A114" s="6"/>
      <c r="B114" s="6"/>
      <c r="C114" s="6"/>
      <c r="D114" s="6"/>
      <c r="E114" s="6"/>
      <c r="F114" s="6"/>
      <c r="G114" s="6"/>
    </row>
    <row r="115" spans="1:7" x14ac:dyDescent="0.35">
      <c r="A115" s="6"/>
      <c r="B115" s="6"/>
      <c r="C115" s="6"/>
      <c r="D115" s="6"/>
      <c r="E115" s="6"/>
      <c r="F115" s="6"/>
      <c r="G115" s="6"/>
    </row>
    <row r="116" spans="1:7" x14ac:dyDescent="0.35">
      <c r="A116" s="6"/>
      <c r="B116" s="6"/>
      <c r="C116" s="6"/>
      <c r="D116" s="6"/>
      <c r="E116" s="6"/>
      <c r="F116" s="6"/>
      <c r="G116" s="6"/>
    </row>
    <row r="117" spans="1:7" x14ac:dyDescent="0.35">
      <c r="A117" s="6"/>
      <c r="B117" s="6"/>
      <c r="C117" s="6"/>
      <c r="D117" s="6"/>
      <c r="E117" s="6"/>
      <c r="F117" s="6"/>
      <c r="G117" s="6"/>
    </row>
    <row r="118" spans="1:7" x14ac:dyDescent="0.35">
      <c r="A118" s="6"/>
      <c r="B118" s="6"/>
      <c r="C118" s="6"/>
      <c r="D118" s="6"/>
      <c r="E118" s="6"/>
      <c r="F118" s="6"/>
      <c r="G118" s="6"/>
    </row>
    <row r="119" spans="1:7" x14ac:dyDescent="0.35">
      <c r="A119" s="6"/>
      <c r="B119" s="6"/>
      <c r="C119" s="6"/>
      <c r="D119" s="6"/>
      <c r="E119" s="6"/>
      <c r="F119" s="6"/>
      <c r="G119" s="6"/>
    </row>
    <row r="120" spans="1:7" x14ac:dyDescent="0.35">
      <c r="A120" s="6"/>
      <c r="B120" s="6"/>
      <c r="C120" s="6"/>
      <c r="D120" s="6"/>
      <c r="E120" s="6"/>
      <c r="F120" s="6"/>
      <c r="G120" s="6"/>
    </row>
    <row r="121" spans="1:7" x14ac:dyDescent="0.35">
      <c r="A121" s="6"/>
      <c r="B121" s="6"/>
      <c r="C121" s="6"/>
      <c r="D121" s="6"/>
      <c r="E121" s="6"/>
      <c r="F121" s="6"/>
      <c r="G121" s="6"/>
    </row>
    <row r="122" spans="1:7" x14ac:dyDescent="0.35">
      <c r="A122" s="6"/>
      <c r="B122" s="6"/>
      <c r="C122" s="6"/>
      <c r="D122" s="6"/>
      <c r="E122" s="6"/>
      <c r="F122" s="6"/>
      <c r="G122" s="6"/>
    </row>
    <row r="123" spans="1:7" x14ac:dyDescent="0.35">
      <c r="A123" s="6"/>
      <c r="B123" s="6"/>
      <c r="C123" s="6"/>
      <c r="D123" s="6"/>
      <c r="E123" s="6"/>
      <c r="F123" s="6"/>
      <c r="G123" s="6"/>
    </row>
    <row r="124" spans="1:7" x14ac:dyDescent="0.35">
      <c r="A124" s="6"/>
      <c r="B124" s="6"/>
      <c r="C124" s="6"/>
      <c r="D124" s="6"/>
      <c r="E124" s="6"/>
      <c r="F124" s="6"/>
      <c r="G124" s="6"/>
    </row>
    <row r="125" spans="1:7" x14ac:dyDescent="0.35">
      <c r="A125" s="6"/>
      <c r="B125" s="6"/>
      <c r="C125" s="6"/>
      <c r="D125" s="6"/>
      <c r="E125" s="6"/>
      <c r="F125" s="6"/>
      <c r="G125" s="6"/>
    </row>
    <row r="126" spans="1:7" x14ac:dyDescent="0.35">
      <c r="A126" s="6"/>
      <c r="B126" s="6"/>
      <c r="C126" s="6"/>
      <c r="D126" s="6"/>
      <c r="E126" s="6"/>
      <c r="F126" s="6"/>
      <c r="G126" s="6"/>
    </row>
    <row r="127" spans="1:7" x14ac:dyDescent="0.35">
      <c r="A127" s="6"/>
      <c r="B127" s="6"/>
      <c r="C127" s="6"/>
      <c r="D127" s="6"/>
      <c r="E127" s="6"/>
      <c r="F127" s="6"/>
      <c r="G127" s="6"/>
    </row>
    <row r="128" spans="1:7" x14ac:dyDescent="0.35">
      <c r="A128" s="6"/>
      <c r="B128" s="6"/>
      <c r="C128" s="6"/>
      <c r="D128" s="6"/>
      <c r="E128" s="6"/>
      <c r="F128" s="6"/>
      <c r="G128" s="6"/>
    </row>
    <row r="129" spans="1:7" x14ac:dyDescent="0.35">
      <c r="A129" s="6"/>
      <c r="B129" s="6"/>
      <c r="C129" s="6"/>
      <c r="D129" s="6"/>
      <c r="E129" s="6"/>
      <c r="F129" s="6"/>
      <c r="G129" s="6"/>
    </row>
    <row r="130" spans="1:7" x14ac:dyDescent="0.35">
      <c r="A130" s="6"/>
      <c r="B130" s="6"/>
      <c r="C130" s="6"/>
      <c r="D130" s="6"/>
      <c r="E130" s="6"/>
      <c r="F130" s="6"/>
      <c r="G130" s="6"/>
    </row>
    <row r="131" spans="1:7" x14ac:dyDescent="0.35">
      <c r="A131" s="6"/>
      <c r="B131" s="6"/>
      <c r="C131" s="6"/>
      <c r="D131" s="6"/>
      <c r="E131" s="6"/>
      <c r="F131" s="6"/>
      <c r="G131" s="6"/>
    </row>
    <row r="132" spans="1:7" x14ac:dyDescent="0.35">
      <c r="A132" s="6"/>
      <c r="B132" s="6"/>
      <c r="C132" s="6"/>
      <c r="D132" s="6"/>
      <c r="E132" s="6"/>
      <c r="F132" s="6"/>
      <c r="G132" s="6"/>
    </row>
    <row r="133" spans="1:7" x14ac:dyDescent="0.35">
      <c r="A133" s="6"/>
      <c r="B133" s="6"/>
      <c r="C133" s="6"/>
      <c r="D133" s="6"/>
      <c r="E133" s="6"/>
      <c r="F133" s="6"/>
      <c r="G133" s="6"/>
    </row>
    <row r="134" spans="1:7" x14ac:dyDescent="0.35">
      <c r="A134" s="6"/>
      <c r="B134" s="6"/>
      <c r="C134" s="6"/>
      <c r="D134" s="6"/>
      <c r="E134" s="6"/>
      <c r="F134" s="6"/>
      <c r="G134" s="6"/>
    </row>
    <row r="135" spans="1:7" x14ac:dyDescent="0.35">
      <c r="A135" s="6"/>
      <c r="B135" s="6"/>
      <c r="C135" s="6"/>
      <c r="D135" s="6"/>
      <c r="E135" s="6"/>
      <c r="F135" s="6"/>
      <c r="G135" s="6"/>
    </row>
    <row r="136" spans="1:7" x14ac:dyDescent="0.35">
      <c r="A136" s="6"/>
      <c r="B136" s="6"/>
      <c r="C136" s="6"/>
      <c r="D136" s="6"/>
      <c r="E136" s="6"/>
      <c r="F136" s="6"/>
      <c r="G136" s="6"/>
    </row>
    <row r="137" spans="1:7" x14ac:dyDescent="0.35">
      <c r="A137" s="6"/>
      <c r="B137" s="6"/>
      <c r="C137" s="6"/>
      <c r="D137" s="6"/>
      <c r="E137" s="6"/>
      <c r="F137" s="6"/>
      <c r="G137" s="6"/>
    </row>
    <row r="138" spans="1:7" x14ac:dyDescent="0.35">
      <c r="A138" s="6"/>
      <c r="B138" s="6"/>
      <c r="C138" s="6"/>
      <c r="D138" s="6"/>
      <c r="E138" s="6"/>
      <c r="F138" s="6"/>
      <c r="G138" s="6"/>
    </row>
    <row r="139" spans="1:7" x14ac:dyDescent="0.35">
      <c r="A139" s="6"/>
      <c r="B139" s="6"/>
      <c r="C139" s="6"/>
      <c r="D139" s="6"/>
      <c r="E139" s="6"/>
      <c r="F139" s="6"/>
      <c r="G139" s="6"/>
    </row>
    <row r="140" spans="1:7" x14ac:dyDescent="0.35">
      <c r="A140" s="6"/>
      <c r="B140" s="6"/>
      <c r="C140" s="6"/>
      <c r="D140" s="6"/>
      <c r="E140" s="6"/>
      <c r="F140" s="6"/>
      <c r="G140" s="6"/>
    </row>
    <row r="141" spans="1:7" x14ac:dyDescent="0.35">
      <c r="A141" s="6"/>
      <c r="B141" s="6"/>
      <c r="C141" s="6"/>
      <c r="D141" s="6"/>
      <c r="E141" s="6"/>
      <c r="F141" s="6"/>
      <c r="G141" s="6"/>
    </row>
    <row r="142" spans="1:7" x14ac:dyDescent="0.35">
      <c r="A142" s="6"/>
      <c r="B142" s="6"/>
      <c r="C142" s="6"/>
      <c r="D142" s="6"/>
      <c r="E142" s="6"/>
      <c r="F142" s="6"/>
      <c r="G142" s="6"/>
    </row>
    <row r="143" spans="1:7" x14ac:dyDescent="0.35">
      <c r="A143" s="6"/>
      <c r="B143" s="6"/>
      <c r="C143" s="6"/>
      <c r="D143" s="6"/>
      <c r="E143" s="6"/>
      <c r="F143" s="6"/>
      <c r="G143" s="6"/>
    </row>
    <row r="144" spans="1:7" x14ac:dyDescent="0.35">
      <c r="A144" s="6"/>
      <c r="B144" s="6"/>
      <c r="C144" s="6"/>
      <c r="D144" s="6"/>
      <c r="E144" s="6"/>
      <c r="F144" s="6"/>
      <c r="G144" s="6"/>
    </row>
    <row r="145" spans="1:7" x14ac:dyDescent="0.35">
      <c r="A145" s="6"/>
      <c r="B145" s="6"/>
      <c r="C145" s="6"/>
      <c r="D145" s="6"/>
      <c r="E145" s="6"/>
      <c r="F145" s="6"/>
      <c r="G145" s="6"/>
    </row>
    <row r="146" spans="1:7" x14ac:dyDescent="0.35">
      <c r="A146" s="6"/>
      <c r="B146" s="6"/>
      <c r="C146" s="6"/>
      <c r="D146" s="6"/>
      <c r="E146" s="6"/>
      <c r="F146" s="6"/>
      <c r="G146" s="6"/>
    </row>
    <row r="147" spans="1:7" x14ac:dyDescent="0.35">
      <c r="A147" s="6"/>
      <c r="B147" s="6"/>
      <c r="C147" s="6"/>
      <c r="D147" s="6"/>
      <c r="E147" s="6"/>
      <c r="F147" s="6"/>
      <c r="G147" s="6"/>
    </row>
    <row r="148" spans="1:7" x14ac:dyDescent="0.35">
      <c r="A148" s="6"/>
      <c r="B148" s="6"/>
      <c r="C148" s="6"/>
      <c r="D148" s="6"/>
      <c r="E148" s="6"/>
      <c r="F148" s="6"/>
      <c r="G148" s="6"/>
    </row>
    <row r="149" spans="1:7" x14ac:dyDescent="0.35">
      <c r="A149" s="6"/>
      <c r="B149" s="6"/>
      <c r="C149" s="6"/>
      <c r="D149" s="6"/>
      <c r="E149" s="6"/>
      <c r="F149" s="6"/>
      <c r="G149" s="6"/>
    </row>
    <row r="150" spans="1:7" x14ac:dyDescent="0.35">
      <c r="A150" s="6"/>
      <c r="B150" s="6"/>
      <c r="C150" s="6"/>
      <c r="D150" s="6"/>
      <c r="E150" s="6"/>
      <c r="F150" s="6"/>
      <c r="G150" s="6"/>
    </row>
    <row r="151" spans="1:7" x14ac:dyDescent="0.35">
      <c r="A151" s="6"/>
      <c r="B151" s="6"/>
      <c r="C151" s="6"/>
      <c r="D151" s="6"/>
      <c r="E151" s="6"/>
      <c r="F151" s="6"/>
      <c r="G151" s="6"/>
    </row>
    <row r="152" spans="1:7" x14ac:dyDescent="0.35">
      <c r="A152" s="6"/>
      <c r="B152" s="6"/>
      <c r="C152" s="6"/>
      <c r="D152" s="6"/>
      <c r="E152" s="6"/>
      <c r="F152" s="6"/>
      <c r="G152" s="6"/>
    </row>
    <row r="153" spans="1:7" x14ac:dyDescent="0.35">
      <c r="A153" s="6"/>
      <c r="B153" s="6"/>
      <c r="C153" s="6"/>
      <c r="D153" s="6"/>
      <c r="E153" s="6"/>
      <c r="F153" s="6"/>
      <c r="G153" s="6"/>
    </row>
    <row r="154" spans="1:7" x14ac:dyDescent="0.35">
      <c r="A154" s="6"/>
      <c r="B154" s="6"/>
      <c r="C154" s="6"/>
      <c r="D154" s="6"/>
      <c r="E154" s="6"/>
      <c r="F154" s="6"/>
      <c r="G154" s="6"/>
    </row>
    <row r="155" spans="1:7" x14ac:dyDescent="0.35">
      <c r="A155" s="6"/>
      <c r="B155" s="6"/>
      <c r="C155" s="6"/>
      <c r="D155" s="6"/>
      <c r="E155" s="6"/>
      <c r="F155" s="6"/>
      <c r="G155" s="6"/>
    </row>
    <row r="156" spans="1:7" x14ac:dyDescent="0.35">
      <c r="A156" s="6"/>
      <c r="B156" s="6"/>
      <c r="C156" s="6"/>
      <c r="D156" s="6"/>
      <c r="E156" s="6"/>
      <c r="F156" s="6"/>
      <c r="G156" s="6"/>
    </row>
    <row r="157" spans="1:7" x14ac:dyDescent="0.35">
      <c r="A157" s="6"/>
      <c r="B157" s="6"/>
      <c r="C157" s="6"/>
      <c r="D157" s="6"/>
      <c r="E157" s="6"/>
      <c r="F157" s="6"/>
      <c r="G157" s="6"/>
    </row>
    <row r="158" spans="1:7" x14ac:dyDescent="0.35">
      <c r="A158" s="6"/>
      <c r="B158" s="6"/>
      <c r="C158" s="6"/>
      <c r="D158" s="6"/>
      <c r="E158" s="6"/>
      <c r="F158" s="6"/>
      <c r="G158" s="6"/>
    </row>
    <row r="159" spans="1:7" x14ac:dyDescent="0.35">
      <c r="A159" s="6"/>
      <c r="B159" s="6"/>
      <c r="C159" s="6"/>
      <c r="D159" s="6"/>
      <c r="E159" s="6"/>
      <c r="F159" s="6"/>
      <c r="G159" s="6"/>
    </row>
    <row r="160" spans="1:7" x14ac:dyDescent="0.35">
      <c r="A160" s="6"/>
      <c r="B160" s="6"/>
      <c r="C160" s="6"/>
      <c r="D160" s="6"/>
      <c r="E160" s="6"/>
      <c r="F160" s="6"/>
      <c r="G160" s="6"/>
    </row>
    <row r="161" spans="1:7" x14ac:dyDescent="0.35">
      <c r="A161" s="6"/>
      <c r="B161" s="6"/>
      <c r="C161" s="6"/>
      <c r="D161" s="6"/>
      <c r="E161" s="6"/>
      <c r="F161" s="6"/>
      <c r="G161" s="6"/>
    </row>
    <row r="162" spans="1:7" x14ac:dyDescent="0.35">
      <c r="A162" s="6"/>
      <c r="B162" s="6"/>
      <c r="C162" s="6"/>
      <c r="D162" s="6"/>
      <c r="E162" s="6"/>
      <c r="F162" s="6"/>
      <c r="G162" s="6"/>
    </row>
    <row r="163" spans="1:7" x14ac:dyDescent="0.35">
      <c r="A163" s="6"/>
      <c r="B163" s="6"/>
      <c r="C163" s="6"/>
      <c r="D163" s="6"/>
      <c r="E163" s="6"/>
      <c r="F163" s="6"/>
      <c r="G163" s="6"/>
    </row>
    <row r="164" spans="1:7" x14ac:dyDescent="0.35">
      <c r="A164" s="6"/>
      <c r="B164" s="6"/>
      <c r="C164" s="6"/>
      <c r="D164" s="6"/>
      <c r="E164" s="6"/>
      <c r="F164" s="6"/>
      <c r="G164" s="6"/>
    </row>
    <row r="165" spans="1:7" x14ac:dyDescent="0.35">
      <c r="A165" s="6"/>
      <c r="B165" s="6"/>
      <c r="C165" s="6"/>
      <c r="D165" s="6"/>
      <c r="E165" s="6"/>
      <c r="F165" s="6"/>
      <c r="G165" s="6"/>
    </row>
    <row r="166" spans="1:7" x14ac:dyDescent="0.35">
      <c r="A166" s="6"/>
      <c r="B166" s="6"/>
      <c r="C166" s="6"/>
      <c r="D166" s="6"/>
      <c r="E166" s="6"/>
      <c r="F166" s="6"/>
      <c r="G166" s="6"/>
    </row>
    <row r="167" spans="1:7" x14ac:dyDescent="0.35">
      <c r="A167" s="6"/>
      <c r="B167" s="6"/>
      <c r="C167" s="6"/>
      <c r="D167" s="6"/>
      <c r="E167" s="6"/>
      <c r="F167" s="6"/>
      <c r="G167" s="6"/>
    </row>
    <row r="168" spans="1:7" x14ac:dyDescent="0.35">
      <c r="A168" s="6"/>
      <c r="B168" s="6"/>
      <c r="C168" s="6"/>
      <c r="D168" s="6"/>
      <c r="E168" s="6"/>
      <c r="F168" s="6"/>
      <c r="G168" s="6"/>
    </row>
    <row r="169" spans="1:7" x14ac:dyDescent="0.35">
      <c r="A169" s="6"/>
      <c r="B169" s="6"/>
      <c r="C169" s="6"/>
      <c r="D169" s="6"/>
      <c r="E169" s="6"/>
      <c r="F169" s="6"/>
      <c r="G169" s="6"/>
    </row>
    <row r="170" spans="1:7" x14ac:dyDescent="0.35">
      <c r="A170" s="6"/>
      <c r="B170" s="6"/>
      <c r="C170" s="6"/>
      <c r="D170" s="6"/>
      <c r="E170" s="6"/>
      <c r="F170" s="6"/>
      <c r="G170" s="6"/>
    </row>
    <row r="171" spans="1:7" x14ac:dyDescent="0.35">
      <c r="A171" s="6"/>
      <c r="B171" s="6"/>
      <c r="C171" s="6"/>
      <c r="D171" s="6"/>
      <c r="E171" s="6"/>
      <c r="F171" s="6"/>
      <c r="G171" s="6"/>
    </row>
    <row r="172" spans="1:7" x14ac:dyDescent="0.35">
      <c r="A172" s="6"/>
      <c r="B172" s="6"/>
      <c r="C172" s="6"/>
      <c r="D172" s="6"/>
      <c r="E172" s="6"/>
      <c r="F172" s="6"/>
      <c r="G172" s="6"/>
    </row>
    <row r="173" spans="1:7" x14ac:dyDescent="0.35">
      <c r="A173" s="6"/>
      <c r="B173" s="6"/>
      <c r="C173" s="6"/>
      <c r="D173" s="6"/>
      <c r="E173" s="6"/>
      <c r="F173" s="6"/>
      <c r="G173" s="6"/>
    </row>
    <row r="174" spans="1:7" x14ac:dyDescent="0.35">
      <c r="A174" s="6"/>
      <c r="B174" s="6"/>
      <c r="C174" s="6"/>
      <c r="D174" s="6"/>
      <c r="E174" s="6"/>
      <c r="F174" s="6"/>
      <c r="G174" s="6"/>
    </row>
  </sheetData>
  <autoFilter ref="A1:H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8"/>
  <sheetViews>
    <sheetView tabSelected="1" zoomScale="145" zoomScaleNormal="145" workbookViewId="0">
      <pane ySplit="1" topLeftCell="A16" activePane="bottomLeft" state="frozen"/>
      <selection pane="bottomLeft" activeCell="H6" sqref="H6"/>
    </sheetView>
  </sheetViews>
  <sheetFormatPr defaultColWidth="8.7265625" defaultRowHeight="14.5" x14ac:dyDescent="0.35"/>
  <cols>
    <col min="1" max="1" width="13.1796875" bestFit="1" customWidth="1"/>
    <col min="3" max="3" width="28.26953125" customWidth="1"/>
    <col min="4" max="12" width="13.54296875" style="6" customWidth="1"/>
    <col min="13" max="14" width="13.54296875" style="1" customWidth="1"/>
  </cols>
  <sheetData>
    <row r="1" spans="1:17" ht="60" customHeight="1" x14ac:dyDescent="0.35">
      <c r="A1" s="5" t="str">
        <f>'Normalised Goal'!$A1</f>
        <v>ORIGINAL USID</v>
      </c>
      <c r="B1" s="5" t="str">
        <f>'Normalised Goal'!$B1</f>
        <v>USID</v>
      </c>
      <c r="C1" s="5" t="s">
        <v>734</v>
      </c>
      <c r="D1" s="5" t="s">
        <v>735</v>
      </c>
      <c r="E1" s="5" t="s">
        <v>736</v>
      </c>
      <c r="F1" s="5" t="s">
        <v>736</v>
      </c>
      <c r="G1" s="5" t="s">
        <v>736</v>
      </c>
      <c r="H1" s="5" t="s">
        <v>737</v>
      </c>
      <c r="I1" s="5"/>
      <c r="J1" s="5"/>
      <c r="K1" s="5"/>
      <c r="L1" s="5"/>
      <c r="M1" s="2"/>
      <c r="N1" s="5" t="s">
        <v>738</v>
      </c>
      <c r="O1" s="10" t="s">
        <v>739</v>
      </c>
      <c r="P1" s="8"/>
      <c r="Q1" s="8"/>
    </row>
    <row r="2" spans="1:17" ht="30" customHeight="1" x14ac:dyDescent="0.35">
      <c r="A2" s="1">
        <f>'Normalised Goal'!$A2</f>
        <v>1</v>
      </c>
      <c r="B2" s="1" t="str">
        <f>'Normalised Goal'!$B2</f>
        <v>G-1</v>
      </c>
      <c r="C2" s="6" t="str">
        <f>'Normalised Goal'!$C2</f>
        <v>As a Public User, I want to Search for Information.</v>
      </c>
      <c r="D2" s="6" t="str">
        <f>'Normalised Goal'!$E2</f>
        <v>search</v>
      </c>
      <c r="E2" s="6" t="s">
        <v>740</v>
      </c>
      <c r="F2" s="6" t="s">
        <v>740</v>
      </c>
      <c r="G2" s="6" t="s">
        <v>740</v>
      </c>
      <c r="H2" s="6" t="str">
        <f t="array" ref="H2">INDEX(_xlfn.UNIQUE($E2:$G2), MODE(MATCH(_xlfn.UNIQUE($E2:$G2), $E2:$G2, 0)))</f>
        <v>r</v>
      </c>
      <c r="K2" s="6" t="str">
        <f>_xlfn.XLOOKUP($D2, Normalised!H:H, Normalised!G:G, "")</f>
        <v/>
      </c>
      <c r="L2" s="6" t="str">
        <f t="array" ref="L2">IFERROR(_xlfn.TEXTJOIN(",", TRUE, _xlfn._xlws.SORT(VALUE(_xlfn._xlws.FILTER(Normalised!G:G, Normalised!H:H=$D2)))), "")</f>
        <v/>
      </c>
    </row>
    <row r="3" spans="1:17" ht="45" customHeight="1" x14ac:dyDescent="0.35">
      <c r="A3" s="1">
        <f>'Normalised Goal'!$A3</f>
        <v>2</v>
      </c>
      <c r="B3" s="1" t="str">
        <f>'Normalised Goal'!$B3</f>
        <v>G-2</v>
      </c>
      <c r="C3" s="6" t="str">
        <f>'Normalised Goal'!$C3</f>
        <v>As a ProspectiveApplicant, I want to research requirements.</v>
      </c>
      <c r="D3" s="6" t="str">
        <f>'Normalised Goal'!$E3</f>
        <v>research</v>
      </c>
      <c r="E3" s="6" t="s">
        <v>740</v>
      </c>
      <c r="F3" s="6" t="s">
        <v>740</v>
      </c>
      <c r="G3" s="6" t="s">
        <v>740</v>
      </c>
      <c r="H3" s="6" t="str">
        <f t="array" ref="H3">INDEX(_xlfn.UNIQUE($E3:$G3), MODE(MATCH(_xlfn.UNIQUE($E3:$G3), $E3:$G3, 0)))</f>
        <v>r</v>
      </c>
      <c r="K3" s="6" t="str">
        <f>_xlfn.XLOOKUP($D3, Normalised!H:H, Normalised!G:G, "")</f>
        <v/>
      </c>
      <c r="L3" s="6" t="str">
        <f t="array" ref="L3">IFERROR(_xlfn.TEXTJOIN(",", TRUE, _xlfn._xlws.SORT(VALUE(_xlfn._xlws.FILTER(Normalised!G:G, Normalised!H:H=$D3)))), "")</f>
        <v/>
      </c>
    </row>
    <row r="4" spans="1:17" ht="30" customHeight="1" x14ac:dyDescent="0.35">
      <c r="A4" s="1">
        <f>'Normalised Goal'!$A4</f>
        <v>2</v>
      </c>
      <c r="B4" s="1" t="str">
        <f>'Normalised Goal'!$B4</f>
        <v>G-3</v>
      </c>
      <c r="C4" s="6" t="str">
        <f>'Normalised Goal'!$C4</f>
        <v>As a ProspectiveApplicant, I want to select a service.</v>
      </c>
      <c r="D4" s="6" t="str">
        <f>'Normalised Goal'!$E4</f>
        <v>select</v>
      </c>
      <c r="E4" s="6" t="s">
        <v>740</v>
      </c>
      <c r="F4" s="6" t="s">
        <v>740</v>
      </c>
      <c r="G4" s="6" t="s">
        <v>740</v>
      </c>
      <c r="H4" s="6" t="str">
        <f t="array" ref="H4">INDEX(_xlfn.UNIQUE($E4:$G4), MODE(MATCH(_xlfn.UNIQUE($E4:$G4), $E4:$G4, 0)))</f>
        <v>r</v>
      </c>
      <c r="K4" s="6" t="str">
        <f>_xlfn.XLOOKUP($D4, Normalised!H:H, Normalised!G:G, "")</f>
        <v/>
      </c>
      <c r="L4" s="6" t="str">
        <f t="array" ref="L4">IFERROR(_xlfn.TEXTJOIN(",", TRUE, _xlfn._xlws.SORT(VALUE(_xlfn._xlws.FILTER(Normalised!G:G, Normalised!H:H=$D4)))), "")</f>
        <v/>
      </c>
    </row>
    <row r="5" spans="1:17" ht="45" customHeight="1" x14ac:dyDescent="0.35">
      <c r="A5" s="1">
        <f>'Normalised Goal'!$A5</f>
        <v>3</v>
      </c>
      <c r="B5" s="1" t="str">
        <f>'Normalised Goal'!$B5</f>
        <v>G-4</v>
      </c>
      <c r="C5" s="6" t="str">
        <f>'Normalised Goal'!$C5</f>
        <v>As an Applicant, I want to Request PreApplication Assistance.</v>
      </c>
      <c r="D5" s="6" t="str">
        <f>'Normalised Goal'!$E5</f>
        <v>request</v>
      </c>
      <c r="E5" s="6" t="s">
        <v>741</v>
      </c>
      <c r="F5" s="6" t="s">
        <v>741</v>
      </c>
      <c r="G5" s="6" t="s">
        <v>741</v>
      </c>
      <c r="H5" s="6" t="str">
        <f t="array" ref="H5">INDEX(_xlfn.UNIQUE($E5:$G5), MODE(MATCH(_xlfn.UNIQUE($E5:$G5), $E5:$G5, 0)))</f>
        <v>c</v>
      </c>
    </row>
    <row r="6" spans="1:17" ht="45" customHeight="1" x14ac:dyDescent="0.35">
      <c r="A6" s="1">
        <f>'Normalised Goal'!$A6</f>
        <v>4</v>
      </c>
      <c r="B6" s="1" t="str">
        <f>'Normalised Goal'!$B6</f>
        <v>G-5</v>
      </c>
      <c r="C6" s="6" t="str">
        <f>'Normalised Goal'!$C6</f>
        <v>As a Customer, I want to Create a Customer Portal User Account.</v>
      </c>
      <c r="D6" s="6" t="str">
        <f>'Normalised Goal'!$E6</f>
        <v>create</v>
      </c>
      <c r="E6" s="6" t="s">
        <v>741</v>
      </c>
      <c r="F6" s="6" t="s">
        <v>741</v>
      </c>
      <c r="G6" s="6" t="s">
        <v>741</v>
      </c>
      <c r="H6" s="6" t="str">
        <f t="array" ref="H6">INDEX(_xlfn.UNIQUE($E6:$G6), MODE(MATCH(_xlfn.UNIQUE($E6:$G6), $E6:$G6, 0)))</f>
        <v>c</v>
      </c>
    </row>
    <row r="7" spans="1:17" ht="30" customHeight="1" x14ac:dyDescent="0.35">
      <c r="A7" s="1">
        <f>'Normalised Goal'!$A7</f>
        <v>5</v>
      </c>
      <c r="B7" s="1" t="str">
        <f>'Normalised Goal'!$B7</f>
        <v>G-6</v>
      </c>
      <c r="C7" s="6" t="str">
        <f>'Normalised Goal'!$C7</f>
        <v>As an Applicant, I want to Submit Application.</v>
      </c>
      <c r="D7" s="6" t="str">
        <f>'Normalised Goal'!$E7</f>
        <v>submit</v>
      </c>
      <c r="E7" s="6" t="s">
        <v>741</v>
      </c>
      <c r="F7" s="6" t="s">
        <v>741</v>
      </c>
      <c r="G7" s="6" t="s">
        <v>741</v>
      </c>
      <c r="H7" s="6" t="str">
        <f t="array" ref="H7">INDEX(_xlfn.UNIQUE($E7:$G7), MODE(MATCH(_xlfn.UNIQUE($E7:$G7), $E7:$G7, 0)))</f>
        <v>c</v>
      </c>
    </row>
    <row r="8" spans="1:17" ht="45" customHeight="1" x14ac:dyDescent="0.35">
      <c r="A8" s="1">
        <f>'Normalised Goal'!$A8</f>
        <v>6</v>
      </c>
      <c r="B8" s="1" t="str">
        <f>'Normalised Goal'!$B8</f>
        <v>G-7</v>
      </c>
      <c r="C8" s="6" t="str">
        <f>'Normalised Goal'!$C8</f>
        <v>As an Applicant, I want to Submit Supporting Documentation.</v>
      </c>
      <c r="D8" s="6" t="str">
        <f>'Normalised Goal'!$E8</f>
        <v>submit</v>
      </c>
      <c r="E8" s="6" t="s">
        <v>741</v>
      </c>
      <c r="F8" s="6" t="s">
        <v>741</v>
      </c>
      <c r="G8" s="6" t="s">
        <v>741</v>
      </c>
      <c r="H8" s="6" t="str">
        <f t="array" ref="H8">INDEX(_xlfn.UNIQUE($E8:$G8), MODE(MATCH(_xlfn.UNIQUE($E8:$G8), $E8:$G8, 0)))</f>
        <v>c</v>
      </c>
    </row>
    <row r="9" spans="1:17" ht="30" customHeight="1" x14ac:dyDescent="0.35">
      <c r="A9" s="1">
        <f>'Normalised Goal'!$A9</f>
        <v>7</v>
      </c>
      <c r="B9" s="1" t="str">
        <f>'Normalised Goal'!$B9</f>
        <v>G-8</v>
      </c>
      <c r="C9" s="6" t="str">
        <f>'Normalised Goal'!$C9</f>
        <v>As an Applicant, I want to Pay Fee.</v>
      </c>
      <c r="D9" s="6" t="str">
        <f>'Normalised Goal'!$E9</f>
        <v>pay</v>
      </c>
      <c r="E9" s="6" t="s">
        <v>742</v>
      </c>
      <c r="F9" s="6" t="s">
        <v>740</v>
      </c>
      <c r="G9" s="6" t="s">
        <v>740</v>
      </c>
      <c r="H9" s="6" t="str">
        <f t="array" ref="H9">INDEX(_xlfn.UNIQUE($E9:$G9), MODE(MATCH(_xlfn.UNIQUE($E9:$G9), $E9:$G9, 0)))</f>
        <v>r</v>
      </c>
    </row>
    <row r="10" spans="1:17" ht="45" customHeight="1" x14ac:dyDescent="0.35">
      <c r="A10" s="1">
        <f>'Normalised Goal'!$A10</f>
        <v>8</v>
      </c>
      <c r="B10" s="1" t="str">
        <f>'Normalised Goal'!$B10</f>
        <v>G-9</v>
      </c>
      <c r="C10" s="6" t="str">
        <f>'Normalised Goal'!$C10</f>
        <v>As an Applicant, I want to Check the Status of a transaction.</v>
      </c>
      <c r="D10" s="6" t="str">
        <f>'Normalised Goal'!$E10</f>
        <v>check</v>
      </c>
      <c r="E10" s="6" t="s">
        <v>740</v>
      </c>
      <c r="F10" s="6" t="s">
        <v>740</v>
      </c>
      <c r="G10" s="6" t="s">
        <v>740</v>
      </c>
      <c r="H10" s="6" t="str">
        <f t="array" ref="H10">INDEX(_xlfn.UNIQUE($E10:$G10), MODE(MATCH(_xlfn.UNIQUE($E10:$G10), $E10:$G10, 0)))</f>
        <v>r</v>
      </c>
    </row>
    <row r="11" spans="1:17" ht="30" customHeight="1" x14ac:dyDescent="0.35">
      <c r="A11" s="1">
        <f>'Normalised Goal'!$A11</f>
        <v>9</v>
      </c>
      <c r="B11" s="1" t="str">
        <f>'Normalised Goal'!$B11</f>
        <v>G-10</v>
      </c>
      <c r="C11" s="6" t="str">
        <f>'Normalised Goal'!$C11</f>
        <v>As an Applicant, I want to Modify my Application.</v>
      </c>
      <c r="D11" s="6" t="str">
        <f>'Normalised Goal'!$E11</f>
        <v>modify</v>
      </c>
      <c r="E11" s="6" t="s">
        <v>742</v>
      </c>
      <c r="F11" s="6" t="s">
        <v>742</v>
      </c>
      <c r="G11" s="6" t="s">
        <v>742</v>
      </c>
      <c r="H11" s="6" t="str">
        <f t="array" ref="H11">INDEX(_xlfn.UNIQUE($E11:$G11), MODE(MATCH(_xlfn.UNIQUE($E11:$G11), $E11:$G11, 0)))</f>
        <v>u</v>
      </c>
    </row>
    <row r="12" spans="1:17" ht="45" customHeight="1" x14ac:dyDescent="0.35">
      <c r="A12" s="1">
        <f>'Normalised Goal'!$A12</f>
        <v>10</v>
      </c>
      <c r="B12" s="1" t="str">
        <f>'Normalised Goal'!$B12</f>
        <v>G-11</v>
      </c>
      <c r="C12" s="6" t="str">
        <f>'Normalised Goal'!$C12</f>
        <v>As a Staff member, I want to Perform a Completeness Review.</v>
      </c>
      <c r="D12" s="6" t="str">
        <f>'Normalised Goal'!$E12</f>
        <v>perform</v>
      </c>
      <c r="E12" s="6" t="s">
        <v>742</v>
      </c>
      <c r="F12" s="6" t="s">
        <v>741</v>
      </c>
      <c r="G12" s="6" t="s">
        <v>741</v>
      </c>
      <c r="H12" s="6" t="str">
        <f t="array" ref="H12">INDEX(_xlfn.UNIQUE($E12:$G12), MODE(MATCH(_xlfn.UNIQUE($E12:$G12), $E12:$G12, 0)))</f>
        <v>c</v>
      </c>
    </row>
    <row r="13" spans="1:17" ht="30" customHeight="1" x14ac:dyDescent="0.35">
      <c r="A13" s="1">
        <f>'Normalised Goal'!$A13</f>
        <v>11</v>
      </c>
      <c r="B13" s="1" t="str">
        <f>'Normalised Goal'!$B13</f>
        <v>G-12</v>
      </c>
      <c r="C13" s="6" t="str">
        <f>'Normalised Goal'!$C13</f>
        <v>As a Staff member, I want to Record an Internal Note.</v>
      </c>
      <c r="D13" s="6" t="str">
        <f>'Normalised Goal'!$E13</f>
        <v>record</v>
      </c>
      <c r="E13" s="6" t="s">
        <v>741</v>
      </c>
      <c r="F13" s="6" t="s">
        <v>741</v>
      </c>
      <c r="G13" s="6" t="s">
        <v>741</v>
      </c>
      <c r="H13" s="6" t="str">
        <f t="array" ref="H13">INDEX(_xlfn.UNIQUE($E13:$G13), MODE(MATCH(_xlfn.UNIQUE($E13:$G13), $E13:$G13, 0)))</f>
        <v>c</v>
      </c>
    </row>
    <row r="14" spans="1:17" ht="45" customHeight="1" x14ac:dyDescent="0.35">
      <c r="A14" s="1">
        <f>'Normalised Goal'!$A14</f>
        <v>12</v>
      </c>
      <c r="B14" s="1" t="str">
        <f>'Normalised Goal'!$B14</f>
        <v>G-13</v>
      </c>
      <c r="C14" s="6" t="str">
        <f>'Normalised Goal'!$C14</f>
        <v>As a Staff member, I want to Assign an Application for Detailed Review.</v>
      </c>
      <c r="D14" s="6" t="str">
        <f>'Normalised Goal'!$E14</f>
        <v>assign</v>
      </c>
      <c r="E14" s="6" t="s">
        <v>742</v>
      </c>
      <c r="F14" s="6" t="s">
        <v>741</v>
      </c>
      <c r="G14" s="6" t="s">
        <v>741</v>
      </c>
      <c r="H14" s="6" t="str">
        <f t="array" ref="H14">INDEX(_xlfn.UNIQUE($E14:$G14), MODE(MATCH(_xlfn.UNIQUE($E14:$G14), $E14:$G14, 0)))</f>
        <v>c</v>
      </c>
    </row>
    <row r="15" spans="1:17" ht="30" customHeight="1" x14ac:dyDescent="0.35">
      <c r="A15" s="1">
        <f>'Normalised Goal'!$A15</f>
        <v>13</v>
      </c>
      <c r="B15" s="1" t="str">
        <f>'Normalised Goal'!$B15</f>
        <v>G-14</v>
      </c>
      <c r="C15" s="6" t="str">
        <f>'Normalised Goal'!$C15</f>
        <v>As a Staff member, I want to Apply a Hold.</v>
      </c>
      <c r="D15" s="6" t="str">
        <f>'Normalised Goal'!$E15</f>
        <v>apply</v>
      </c>
      <c r="E15" s="6" t="s">
        <v>742</v>
      </c>
      <c r="F15" s="6" t="s">
        <v>741</v>
      </c>
      <c r="G15" s="6" t="s">
        <v>741</v>
      </c>
      <c r="H15" s="6" t="str">
        <f t="array" ref="H15">INDEX(_xlfn.UNIQUE($E15:$G15), MODE(MATCH(_xlfn.UNIQUE($E15:$G15), $E15:$G15, 0)))</f>
        <v>c</v>
      </c>
    </row>
    <row r="16" spans="1:17" ht="30" customHeight="1" x14ac:dyDescent="0.35">
      <c r="A16" s="1">
        <f>'Normalised Goal'!$A16</f>
        <v>14</v>
      </c>
      <c r="B16" s="1" t="str">
        <f>'Normalised Goal'!$B16</f>
        <v>G-15</v>
      </c>
      <c r="C16" s="6" t="str">
        <f>'Normalised Goal'!$C16</f>
        <v>As a Staff member, I want to Remove a Hold.</v>
      </c>
      <c r="D16" s="6" t="str">
        <f>'Normalised Goal'!$E16</f>
        <v>remove</v>
      </c>
      <c r="E16" s="6" t="s">
        <v>743</v>
      </c>
      <c r="F16" s="6" t="s">
        <v>743</v>
      </c>
      <c r="G16" s="6" t="s">
        <v>743</v>
      </c>
      <c r="H16" s="6" t="str">
        <f t="array" ref="H16">INDEX(_xlfn.UNIQUE($E16:$G16), MODE(MATCH(_xlfn.UNIQUE($E16:$G16), $E16:$G16, 0)))</f>
        <v>d</v>
      </c>
    </row>
    <row r="17" spans="1:8" ht="45" customHeight="1" x14ac:dyDescent="0.35">
      <c r="A17" s="1">
        <f>'Normalised Goal'!$A17</f>
        <v>15</v>
      </c>
      <c r="B17" s="1" t="str">
        <f>'Normalised Goal'!$B17</f>
        <v>G-16</v>
      </c>
      <c r="C17" s="6" t="str">
        <f>'Normalised Goal'!$C17</f>
        <v>As a Staff member, I want to Send a Formal Response to Applicant.</v>
      </c>
      <c r="D17" s="6" t="str">
        <f>'Normalised Goal'!$E17</f>
        <v>send</v>
      </c>
      <c r="E17" s="6" t="s">
        <v>741</v>
      </c>
      <c r="F17" s="6" t="s">
        <v>741</v>
      </c>
      <c r="G17" s="6" t="s">
        <v>741</v>
      </c>
      <c r="H17" s="6" t="str">
        <f t="array" ref="H17">INDEX(_xlfn.UNIQUE($E17:$G17), MODE(MATCH(_xlfn.UNIQUE($E17:$G17), $E17:$G17, 0)))</f>
        <v>c</v>
      </c>
    </row>
    <row r="18" spans="1:8" ht="30" customHeight="1" x14ac:dyDescent="0.35">
      <c r="A18" s="1">
        <f>'Normalised Goal'!$A18</f>
        <v>16</v>
      </c>
      <c r="B18" s="1" t="str">
        <f>'Normalised Goal'!$B18</f>
        <v>G-17</v>
      </c>
      <c r="C18" s="6" t="str">
        <f>'Normalised Goal'!$C18</f>
        <v>As a Staff member, I want to Track  the Draft Proffers.</v>
      </c>
      <c r="D18" s="6" t="str">
        <f>'Normalised Goal'!$E18</f>
        <v>track</v>
      </c>
      <c r="E18" s="6" t="s">
        <v>740</v>
      </c>
      <c r="F18" s="6" t="s">
        <v>740</v>
      </c>
      <c r="G18" s="6" t="s">
        <v>740</v>
      </c>
      <c r="H18" s="6" t="str">
        <f t="array" ref="H18">INDEX(_xlfn.UNIQUE($E18:$G18), MODE(MATCH(_xlfn.UNIQUE($E18:$G18), $E18:$G18, 0)))</f>
        <v>r</v>
      </c>
    </row>
    <row r="19" spans="1:8" ht="30" customHeight="1" x14ac:dyDescent="0.35">
      <c r="A19" s="1">
        <f>'Normalised Goal'!$A19</f>
        <v>17</v>
      </c>
      <c r="B19" s="1" t="str">
        <f>'Normalised Goal'!$B19</f>
        <v>G-18</v>
      </c>
      <c r="C19" s="6" t="str">
        <f>'Normalised Goal'!$C19</f>
        <v>As a Staff member, I want to Manage Approved Proffers.</v>
      </c>
      <c r="D19" s="6" t="str">
        <f>'Normalised Goal'!$E19</f>
        <v>manage</v>
      </c>
      <c r="E19" s="6" t="s">
        <v>742</v>
      </c>
      <c r="F19" s="6" t="s">
        <v>742</v>
      </c>
      <c r="G19" s="6" t="s">
        <v>742</v>
      </c>
      <c r="H19" s="6" t="str">
        <f t="array" ref="H19">INDEX(_xlfn.UNIQUE($E19:$G19), MODE(MATCH(_xlfn.UNIQUE($E19:$G19), $E19:$G19, 0)))</f>
        <v>u</v>
      </c>
    </row>
    <row r="20" spans="1:8" ht="30" customHeight="1" x14ac:dyDescent="0.35">
      <c r="A20" s="1">
        <f>'Normalised Goal'!$A20</f>
        <v>18</v>
      </c>
      <c r="B20" s="1" t="str">
        <f>'Normalised Goal'!$B20</f>
        <v>G-19</v>
      </c>
      <c r="C20" s="6" t="str">
        <f>'Normalised Goal'!$C20</f>
        <v>As a Staff member, I want to Manage Ordinances.</v>
      </c>
      <c r="D20" s="6" t="str">
        <f>'Normalised Goal'!$E20</f>
        <v>manage</v>
      </c>
      <c r="E20" s="6" t="s">
        <v>742</v>
      </c>
      <c r="F20" s="6" t="s">
        <v>742</v>
      </c>
      <c r="G20" s="6" t="s">
        <v>742</v>
      </c>
      <c r="H20" s="6" t="str">
        <f t="array" ref="H20">INDEX(_xlfn.UNIQUE($E20:$G20), MODE(MATCH(_xlfn.UNIQUE($E20:$G20), $E20:$G20, 0)))</f>
        <v>u</v>
      </c>
    </row>
    <row r="21" spans="1:8" ht="30" customHeight="1" x14ac:dyDescent="0.35">
      <c r="A21" s="1">
        <f>'Normalised Goal'!$A21</f>
        <v>19</v>
      </c>
      <c r="B21" s="1" t="str">
        <f>'Normalised Goal'!$B21</f>
        <v>G-20</v>
      </c>
      <c r="C21" s="6" t="str">
        <f>'Normalised Goal'!$C21</f>
        <v>As a Staff member, I want to Schedule a Meeting.</v>
      </c>
      <c r="D21" s="6" t="str">
        <f>'Normalised Goal'!$E21</f>
        <v>schedule</v>
      </c>
      <c r="E21" s="6" t="s">
        <v>741</v>
      </c>
      <c r="F21" s="6" t="s">
        <v>741</v>
      </c>
      <c r="G21" s="6" t="s">
        <v>741</v>
      </c>
      <c r="H21" s="6" t="str">
        <f t="array" ref="H21">INDEX(_xlfn.UNIQUE($E21:$G21), MODE(MATCH(_xlfn.UNIQUE($E21:$G21), $E21:$G21, 0)))</f>
        <v>c</v>
      </c>
    </row>
    <row r="22" spans="1:8" ht="45" customHeight="1" x14ac:dyDescent="0.35">
      <c r="A22" s="1">
        <f>'Normalised Goal'!$A22</f>
        <v>20</v>
      </c>
      <c r="B22" s="1" t="str">
        <f>'Normalised Goal'!$B22</f>
        <v>G-21</v>
      </c>
      <c r="C22" s="6" t="str">
        <f>'Normalised Goal'!$C22</f>
        <v>As a staff member, I want to denote an application with a Final Action status..</v>
      </c>
      <c r="D22" s="6" t="str">
        <f>'Normalised Goal'!$E22</f>
        <v>denote</v>
      </c>
      <c r="E22" s="6" t="s">
        <v>740</v>
      </c>
      <c r="F22" s="6" t="s">
        <v>742</v>
      </c>
      <c r="G22" s="6" t="s">
        <v>740</v>
      </c>
      <c r="H22" s="6" t="str">
        <f t="array" ref="H22">INDEX(_xlfn.UNIQUE($E22:$G22), MODE(MATCH(_xlfn.UNIQUE($E22:$G22), $E22:$G22, 0)))</f>
        <v>r</v>
      </c>
    </row>
    <row r="23" spans="1:8" ht="45" customHeight="1" x14ac:dyDescent="0.35">
      <c r="A23" s="1">
        <f>'Normalised Goal'!$A23</f>
        <v>21</v>
      </c>
      <c r="B23" s="1" t="str">
        <f>'Normalised Goal'!$B23</f>
        <v>G-22</v>
      </c>
      <c r="C23" s="6" t="str">
        <f>'Normalised Goal'!$C23</f>
        <v>As a Planning Staff member, I want to rack Plan Amendments.</v>
      </c>
      <c r="D23" s="6" t="str">
        <f>'Normalised Goal'!$E23</f>
        <v>track</v>
      </c>
      <c r="E23" s="6" t="s">
        <v>740</v>
      </c>
      <c r="F23" s="6" t="s">
        <v>740</v>
      </c>
      <c r="G23" s="6" t="s">
        <v>740</v>
      </c>
      <c r="H23" s="6" t="str">
        <f t="array" ref="H23">INDEX(_xlfn.UNIQUE($E23:$G23), MODE(MATCH(_xlfn.UNIQUE($E23:$G23), $E23:$G23, 0)))</f>
        <v>r</v>
      </c>
    </row>
    <row r="24" spans="1:8" ht="45" customHeight="1" x14ac:dyDescent="0.35">
      <c r="A24" s="1">
        <f>'Normalised Goal'!$A24</f>
        <v>21</v>
      </c>
      <c r="B24" s="1" t="str">
        <f>'Normalised Goal'!$B24</f>
        <v>G-23</v>
      </c>
      <c r="C24" s="6" t="str">
        <f>'Normalised Goal'!$C24</f>
        <v>As a Planning Staff member, I want to Track Planning Studies.</v>
      </c>
      <c r="D24" s="6" t="str">
        <f>'Normalised Goal'!$E24</f>
        <v>track</v>
      </c>
      <c r="E24" s="6" t="s">
        <v>740</v>
      </c>
      <c r="F24" s="6" t="s">
        <v>740</v>
      </c>
      <c r="G24" s="6" t="s">
        <v>740</v>
      </c>
      <c r="H24" s="6" t="str">
        <f t="array" ref="H24">INDEX(_xlfn.UNIQUE($E24:$G24), MODE(MATCH(_xlfn.UNIQUE($E24:$G24), $E24:$G24, 0)))</f>
        <v>r</v>
      </c>
    </row>
    <row r="25" spans="1:8" ht="45" customHeight="1" x14ac:dyDescent="0.35">
      <c r="A25" s="1">
        <f>'Normalised Goal'!$A25</f>
        <v>21</v>
      </c>
      <c r="B25" s="1" t="str">
        <f>'Normalised Goal'!$B25</f>
        <v>G-24</v>
      </c>
      <c r="C25" s="6" t="str">
        <f>'Normalised Goal'!$C25</f>
        <v>As a Planning Staff member, I want to Conduct Plan Amendments.</v>
      </c>
      <c r="D25" s="6" t="str">
        <f>'Normalised Goal'!$E25</f>
        <v>conduct</v>
      </c>
      <c r="E25" s="6" t="s">
        <v>742</v>
      </c>
      <c r="F25" s="6" t="s">
        <v>741</v>
      </c>
      <c r="G25" s="6" t="s">
        <v>741</v>
      </c>
      <c r="H25" s="6" t="str">
        <f t="array" ref="H25">INDEX(_xlfn.UNIQUE($E25:$G25), MODE(MATCH(_xlfn.UNIQUE($E25:$G25), $E25:$G25, 0)))</f>
        <v>c</v>
      </c>
    </row>
    <row r="26" spans="1:8" ht="45" customHeight="1" x14ac:dyDescent="0.35">
      <c r="A26" s="1">
        <f>'Normalised Goal'!$A26</f>
        <v>21</v>
      </c>
      <c r="B26" s="1" t="str">
        <f>'Normalised Goal'!$B26</f>
        <v>G-25</v>
      </c>
      <c r="C26" s="6" t="str">
        <f>'Normalised Goal'!$C26</f>
        <v>As a Planning Staff member, I want to Conduct Planning Studies.</v>
      </c>
      <c r="D26" s="6" t="str">
        <f>'Normalised Goal'!$E26</f>
        <v>conduct</v>
      </c>
      <c r="E26" s="6" t="s">
        <v>742</v>
      </c>
      <c r="F26" s="6" t="s">
        <v>741</v>
      </c>
      <c r="G26" s="6" t="s">
        <v>741</v>
      </c>
      <c r="H26" s="6" t="str">
        <f t="array" ref="H26">INDEX(_xlfn.UNIQUE($E26:$G26), MODE(MATCH(_xlfn.UNIQUE($E26:$G26), $E26:$G26, 0)))</f>
        <v>c</v>
      </c>
    </row>
    <row r="27" spans="1:8" ht="45" customHeight="1" x14ac:dyDescent="0.35">
      <c r="A27" s="1">
        <f>'Normalised Goal'!$A27</f>
        <v>22</v>
      </c>
      <c r="B27" s="1" t="str">
        <f>'Normalised Goal'!$B27</f>
        <v>G-26</v>
      </c>
      <c r="C27" s="6" t="str">
        <f>'Normalised Goal'!$C27</f>
        <v>As a Planning Staff member, I want to Generate Planning-related Reports.</v>
      </c>
      <c r="D27" s="6" t="str">
        <f>'Normalised Goal'!$E27</f>
        <v>generate</v>
      </c>
      <c r="E27" s="6" t="s">
        <v>741</v>
      </c>
      <c r="F27" s="6" t="s">
        <v>741</v>
      </c>
      <c r="G27" s="6" t="s">
        <v>741</v>
      </c>
      <c r="H27" s="6" t="str">
        <f t="array" ref="H27">INDEX(_xlfn.UNIQUE($E27:$G27), MODE(MATCH(_xlfn.UNIQUE($E27:$G27), $E27:$G27, 0)))</f>
        <v>c</v>
      </c>
    </row>
    <row r="28" spans="1:8" ht="45" customHeight="1" x14ac:dyDescent="0.35">
      <c r="A28" s="1">
        <f>'Normalised Goal'!$A28</f>
        <v>23</v>
      </c>
      <c r="B28" s="1" t="str">
        <f>'Normalised Goal'!$B28</f>
        <v>G-27</v>
      </c>
      <c r="C28" s="6" t="str">
        <f>'Normalised Goal'!$C28</f>
        <v>As a Planning Staff member, I want to Evaluate Consistency with the Comprehensive Plan.</v>
      </c>
      <c r="D28" s="6" t="str">
        <f>'Normalised Goal'!$E28</f>
        <v>evaluate</v>
      </c>
      <c r="E28" s="6" t="s">
        <v>742</v>
      </c>
      <c r="F28" s="6" t="s">
        <v>740</v>
      </c>
      <c r="G28" s="6" t="s">
        <v>742</v>
      </c>
      <c r="H28" s="6" t="str">
        <f t="array" ref="H28">INDEX(_xlfn.UNIQUE($E28:$G28), MODE(MATCH(_xlfn.UNIQUE($E28:$G28), $E28:$G28, 0)))</f>
        <v>u</v>
      </c>
    </row>
    <row r="29" spans="1:8" ht="30" customHeight="1" x14ac:dyDescent="0.35">
      <c r="A29" s="1">
        <f>'Normalised Goal'!$A29</f>
        <v>24</v>
      </c>
      <c r="B29" s="1" t="str">
        <f>'Normalised Goal'!$B29</f>
        <v>G-28</v>
      </c>
      <c r="C29" s="6" t="str">
        <f>'Normalised Goal'!$C29</f>
        <v>As a Staff member, I want to Perform a Staff Review.</v>
      </c>
      <c r="D29" s="6" t="str">
        <f>'Normalised Goal'!$E29</f>
        <v>perform</v>
      </c>
      <c r="E29" s="6" t="s">
        <v>740</v>
      </c>
      <c r="F29" s="6" t="s">
        <v>740</v>
      </c>
      <c r="G29" s="6" t="s">
        <v>740</v>
      </c>
      <c r="H29" s="6" t="str">
        <f t="array" ref="H29">INDEX(_xlfn.UNIQUE($E29:$G29), MODE(MATCH(_xlfn.UNIQUE($E29:$G29), $E29:$G29, 0)))</f>
        <v>r</v>
      </c>
    </row>
    <row r="30" spans="1:8" ht="45" customHeight="1" x14ac:dyDescent="0.35">
      <c r="A30" s="1">
        <f>'Normalised Goal'!$A30</f>
        <v>25</v>
      </c>
      <c r="B30" s="1" t="str">
        <f>'Normalised Goal'!$B30</f>
        <v>G-29</v>
      </c>
      <c r="C30" s="6" t="str">
        <f>'Normalised Goal'!$C30</f>
        <v>As a Zoning Staff member, I want to Process the Requests for Zoning Information.</v>
      </c>
      <c r="D30" s="6" t="str">
        <f>'Normalised Goal'!$E30</f>
        <v>process</v>
      </c>
      <c r="E30" s="6" t="s">
        <v>742</v>
      </c>
      <c r="F30" s="6" t="s">
        <v>742</v>
      </c>
      <c r="G30" s="6" t="s">
        <v>742</v>
      </c>
      <c r="H30" s="6" t="str">
        <f t="array" ref="H30">INDEX(_xlfn.UNIQUE($E30:$G30), MODE(MATCH(_xlfn.UNIQUE($E30:$G30), $E30:$G30, 0)))</f>
        <v>u</v>
      </c>
    </row>
    <row r="31" spans="1:8" ht="45" customHeight="1" x14ac:dyDescent="0.35">
      <c r="A31" s="1">
        <f>'Normalised Goal'!$A31</f>
        <v>26</v>
      </c>
      <c r="B31" s="1" t="str">
        <f>'Normalised Goal'!$B31</f>
        <v>G-30</v>
      </c>
      <c r="C31" s="6" t="str">
        <f>'Normalised Goal'!$C31</f>
        <v>As a Zoning Staff member, I want to Issue the Zoning-Related Permits.</v>
      </c>
      <c r="D31" s="6" t="str">
        <f>'Normalised Goal'!$E31</f>
        <v>issue</v>
      </c>
      <c r="E31" s="6" t="s">
        <v>741</v>
      </c>
      <c r="F31" s="6" t="s">
        <v>741</v>
      </c>
      <c r="G31" s="6" t="s">
        <v>741</v>
      </c>
      <c r="H31" s="6" t="str">
        <f t="array" ref="H31">INDEX(_xlfn.UNIQUE($E31:$G31), MODE(MATCH(_xlfn.UNIQUE($E31:$G31), $E31:$G31, 0)))</f>
        <v>c</v>
      </c>
    </row>
    <row r="32" spans="1:8" ht="30" customHeight="1" x14ac:dyDescent="0.35">
      <c r="A32" s="1">
        <f>'Normalised Goal'!$A32</f>
        <v>27</v>
      </c>
      <c r="B32" s="1" t="str">
        <f>'Normalised Goal'!$B32</f>
        <v>G-31</v>
      </c>
      <c r="C32" s="6" t="str">
        <f>'Normalised Goal'!$C32</f>
        <v>As a Staff member, I want to Develop a Staff Report.</v>
      </c>
      <c r="D32" s="6" t="str">
        <f>'Normalised Goal'!$E32</f>
        <v>develop</v>
      </c>
      <c r="E32" s="6" t="s">
        <v>741</v>
      </c>
      <c r="F32" s="6" t="s">
        <v>741</v>
      </c>
      <c r="G32" s="6" t="s">
        <v>741</v>
      </c>
      <c r="H32" s="6" t="str">
        <f t="array" ref="H32">INDEX(_xlfn.UNIQUE($E32:$G32), MODE(MATCH(_xlfn.UNIQUE($E32:$G32), $E32:$G32, 0)))</f>
        <v>c</v>
      </c>
    </row>
    <row r="33" spans="1:8" ht="30" customHeight="1" x14ac:dyDescent="0.35">
      <c r="A33" s="1">
        <f>'Normalised Goal'!$A33</f>
        <v>28</v>
      </c>
      <c r="B33" s="1" t="str">
        <f>'Normalised Goal'!$B33</f>
        <v>G-32</v>
      </c>
      <c r="C33" s="6" t="str">
        <f>'Normalised Goal'!$C33</f>
        <v>As a Staff member, I want to Manage Hearing Calendars.</v>
      </c>
      <c r="D33" s="6" t="str">
        <f>'Normalised Goal'!$E33</f>
        <v>manage</v>
      </c>
      <c r="E33" s="6" t="s">
        <v>742</v>
      </c>
      <c r="F33" s="6" t="s">
        <v>742</v>
      </c>
      <c r="G33" s="6" t="s">
        <v>742</v>
      </c>
      <c r="H33" s="6" t="str">
        <f t="array" ref="H33">INDEX(_xlfn.UNIQUE($E33:$G33), MODE(MATCH(_xlfn.UNIQUE($E33:$G33), $E33:$G33, 0)))</f>
        <v>u</v>
      </c>
    </row>
    <row r="34" spans="1:8" ht="30" customHeight="1" x14ac:dyDescent="0.35">
      <c r="A34" s="1">
        <f>'Normalised Goal'!$A34</f>
        <v>29</v>
      </c>
      <c r="B34" s="1" t="str">
        <f>'Normalised Goal'!$B34</f>
        <v>G-33</v>
      </c>
      <c r="C34" s="6" t="str">
        <f>'Normalised Goal'!$C34</f>
        <v>As a Staff member, I want to Assign a Hearing Date.</v>
      </c>
      <c r="D34" s="6" t="str">
        <f>'Normalised Goal'!$E34</f>
        <v>assign</v>
      </c>
      <c r="E34" s="6" t="s">
        <v>741</v>
      </c>
      <c r="F34" s="6" t="s">
        <v>741</v>
      </c>
      <c r="G34" s="6" t="s">
        <v>741</v>
      </c>
      <c r="H34" s="6" t="str">
        <f t="array" ref="H34">INDEX(_xlfn.UNIQUE($E34:$G34), MODE(MATCH(_xlfn.UNIQUE($E34:$G34), $E34:$G34, 0)))</f>
        <v>c</v>
      </c>
    </row>
    <row r="35" spans="1:8" ht="30" customHeight="1" x14ac:dyDescent="0.35">
      <c r="A35" s="1">
        <f>'Normalised Goal'!$A35</f>
        <v>30</v>
      </c>
      <c r="B35" s="1" t="str">
        <f>'Normalised Goal'!$B35</f>
        <v>G-34</v>
      </c>
      <c r="C35" s="6" t="str">
        <f>'Normalised Goal'!$C35</f>
        <v>As a Staff member, I want to Manage Affidavits.</v>
      </c>
      <c r="D35" s="6" t="str">
        <f>'Normalised Goal'!$E35</f>
        <v>manage</v>
      </c>
      <c r="E35" s="6" t="s">
        <v>742</v>
      </c>
      <c r="F35" s="6" t="s">
        <v>742</v>
      </c>
      <c r="G35" s="6" t="s">
        <v>742</v>
      </c>
      <c r="H35" s="6" t="str">
        <f t="array" ref="H35">INDEX(_xlfn.UNIQUE($E35:$G35), MODE(MATCH(_xlfn.UNIQUE($E35:$G35), $E35:$G35, 0)))</f>
        <v>u</v>
      </c>
    </row>
    <row r="36" spans="1:8" ht="30" customHeight="1" x14ac:dyDescent="0.35">
      <c r="A36" s="1">
        <f>'Normalised Goal'!$A36</f>
        <v>31</v>
      </c>
      <c r="B36" s="1" t="str">
        <f>'Normalised Goal'!$B36</f>
        <v>G-35</v>
      </c>
      <c r="C36" s="6" t="str">
        <f>'Normalised Goal'!$C36</f>
        <v>As an Applicant, I want to Satisfy Hearing Requirements.</v>
      </c>
      <c r="D36" s="6" t="str">
        <f>'Normalised Goal'!$E36</f>
        <v>satisfy</v>
      </c>
      <c r="E36" s="6" t="s">
        <v>742</v>
      </c>
      <c r="F36" s="6" t="s">
        <v>740</v>
      </c>
      <c r="G36" s="6" t="s">
        <v>740</v>
      </c>
      <c r="H36" s="6" t="str">
        <f t="array" ref="H36">INDEX(_xlfn.UNIQUE($E36:$G36), MODE(MATCH(_xlfn.UNIQUE($E36:$G36), $E36:$G36, 0)))</f>
        <v>r</v>
      </c>
    </row>
    <row r="37" spans="1:8" ht="30" customHeight="1" x14ac:dyDescent="0.35">
      <c r="A37" s="1">
        <f>'Normalised Goal'!$A37</f>
        <v>32</v>
      </c>
      <c r="B37" s="1" t="str">
        <f>'Normalised Goal'!$B37</f>
        <v>G-36</v>
      </c>
      <c r="C37" s="6" t="str">
        <f>'Normalised Goal'!$C37</f>
        <v>As a Staff member, I want to Support Hearing Execution.</v>
      </c>
      <c r="D37" s="6" t="str">
        <f>'Normalised Goal'!$E37</f>
        <v>support</v>
      </c>
      <c r="E37" s="6" t="s">
        <v>742</v>
      </c>
      <c r="F37" s="6" t="s">
        <v>741</v>
      </c>
      <c r="G37" s="6" t="s">
        <v>741</v>
      </c>
      <c r="H37" s="6" t="str">
        <f t="array" ref="H37">INDEX(_xlfn.UNIQUE($E37:$G37), MODE(MATCH(_xlfn.UNIQUE($E37:$G37), $E37:$G37, 0)))</f>
        <v>c</v>
      </c>
    </row>
    <row r="38" spans="1:8" ht="30" customHeight="1" x14ac:dyDescent="0.35">
      <c r="A38" s="1">
        <f>'Normalised Goal'!$A38</f>
        <v>32</v>
      </c>
      <c r="B38" s="1" t="str">
        <f>'Normalised Goal'!$B38</f>
        <v>G-37</v>
      </c>
      <c r="C38" s="6" t="str">
        <f>'Normalised Goal'!$C38</f>
        <v>As a Staff member, I want to Prepare for Hearing Execution.</v>
      </c>
      <c r="D38" s="6" t="str">
        <f>'Normalised Goal'!$E38</f>
        <v>prepare</v>
      </c>
      <c r="E38" s="6" t="s">
        <v>740</v>
      </c>
      <c r="F38" s="6" t="s">
        <v>740</v>
      </c>
      <c r="G38" s="6" t="s">
        <v>740</v>
      </c>
      <c r="H38" s="6" t="str">
        <f t="array" ref="H38">INDEX(_xlfn.UNIQUE($E38:$G38), MODE(MATCH(_xlfn.UNIQUE($E38:$G38), $E38:$G38, 0)))</f>
        <v>r</v>
      </c>
    </row>
    <row r="39" spans="1:8" ht="30" customHeight="1" x14ac:dyDescent="0.35">
      <c r="A39" s="1">
        <f>'Normalised Goal'!$A39</f>
        <v>33</v>
      </c>
      <c r="B39" s="1" t="str">
        <f>'Normalised Goal'!$B39</f>
        <v>G-38</v>
      </c>
      <c r="C39" s="6" t="str">
        <f>'Normalised Goal'!$C39</f>
        <v>As a Staff member, I want to Capture a Hearing Decision.</v>
      </c>
      <c r="D39" s="6" t="str">
        <f>'Normalised Goal'!$E39</f>
        <v>capture</v>
      </c>
      <c r="E39" s="6" t="s">
        <v>741</v>
      </c>
      <c r="F39" s="6" t="s">
        <v>740</v>
      </c>
      <c r="G39" s="6" t="s">
        <v>740</v>
      </c>
      <c r="H39" s="6" t="str">
        <f t="array" ref="H39">INDEX(_xlfn.UNIQUE($E39:$G39), MODE(MATCH(_xlfn.UNIQUE($E39:$G39), $E39:$G39, 0)))</f>
        <v>r</v>
      </c>
    </row>
    <row r="40" spans="1:8" ht="30" customHeight="1" x14ac:dyDescent="0.35">
      <c r="A40" s="1">
        <f>'Normalised Goal'!$A40</f>
        <v>34</v>
      </c>
      <c r="B40" s="1" t="str">
        <f>'Normalised Goal'!$B40</f>
        <v>G-39</v>
      </c>
      <c r="C40" s="6" t="str">
        <f>'Normalised Goal'!$C40</f>
        <v>As a Staff member, I want to Process the Appeals.</v>
      </c>
      <c r="D40" s="6" t="str">
        <f>'Normalised Goal'!$E40</f>
        <v>process</v>
      </c>
      <c r="E40" s="6" t="s">
        <v>742</v>
      </c>
      <c r="F40" s="6" t="s">
        <v>742</v>
      </c>
      <c r="G40" s="6" t="s">
        <v>742</v>
      </c>
      <c r="H40" s="6" t="str">
        <f t="array" ref="H40">INDEX(_xlfn.UNIQUE($E40:$G40), MODE(MATCH(_xlfn.UNIQUE($E40:$G40), $E40:$G40, 0)))</f>
        <v>u</v>
      </c>
    </row>
    <row r="41" spans="1:8" ht="45" customHeight="1" x14ac:dyDescent="0.35">
      <c r="A41" s="1">
        <f>'Normalised Goal'!$A41</f>
        <v>35</v>
      </c>
      <c r="B41" s="1" t="str">
        <f>'Normalised Goal'!$B41</f>
        <v>G-40</v>
      </c>
      <c r="C41" s="6" t="str">
        <f>'Normalised Goal'!$C41</f>
        <v>As a Plan Review Staff member, I want to Assign Plans for Review.</v>
      </c>
      <c r="D41" s="6" t="str">
        <f>'Normalised Goal'!$E41</f>
        <v>assign</v>
      </c>
      <c r="E41" s="6" t="s">
        <v>741</v>
      </c>
      <c r="F41" s="6" t="s">
        <v>741</v>
      </c>
      <c r="G41" s="6" t="s">
        <v>741</v>
      </c>
      <c r="H41" s="6" t="str">
        <f t="array" ref="H41">INDEX(_xlfn.UNIQUE($E41:$G41), MODE(MATCH(_xlfn.UNIQUE($E41:$G41), $E41:$G41, 0)))</f>
        <v>c</v>
      </c>
    </row>
    <row r="42" spans="1:8" ht="45" customHeight="1" x14ac:dyDescent="0.35">
      <c r="A42" s="1">
        <f>'Normalised Goal'!$A42</f>
        <v>36</v>
      </c>
      <c r="B42" s="1" t="str">
        <f>'Normalised Goal'!$B42</f>
        <v>G-41</v>
      </c>
      <c r="C42" s="6" t="str">
        <f>'Normalised Goal'!$C42</f>
        <v>As a Plan Review Staff Supervisor, I want to Manage Plan Reviewer Workload.</v>
      </c>
      <c r="D42" s="6" t="str">
        <f>'Normalised Goal'!$E42</f>
        <v>manage</v>
      </c>
      <c r="E42" s="6" t="s">
        <v>742</v>
      </c>
      <c r="F42" s="6" t="s">
        <v>742</v>
      </c>
      <c r="G42" s="6" t="s">
        <v>742</v>
      </c>
      <c r="H42" s="6" t="str">
        <f t="array" ref="H42">INDEX(_xlfn.UNIQUE($E42:$G42), MODE(MATCH(_xlfn.UNIQUE($E42:$G42), $E42:$G42, 0)))</f>
        <v>u</v>
      </c>
    </row>
    <row r="43" spans="1:8" ht="45" customHeight="1" x14ac:dyDescent="0.35">
      <c r="A43" s="1">
        <f>'Normalised Goal'!$A43</f>
        <v>37</v>
      </c>
      <c r="B43" s="1" t="str">
        <f>'Normalised Goal'!$B43</f>
        <v>G-42</v>
      </c>
      <c r="C43" s="6" t="str">
        <f>'Normalised Goal'!$C43</f>
        <v>As an Applicant, I want to Request a Plan Review Meeting.</v>
      </c>
      <c r="D43" s="6" t="str">
        <f>'Normalised Goal'!$E43</f>
        <v>request</v>
      </c>
      <c r="E43" s="6" t="s">
        <v>741</v>
      </c>
      <c r="F43" s="6" t="s">
        <v>741</v>
      </c>
      <c r="G43" s="6" t="s">
        <v>741</v>
      </c>
      <c r="H43" s="6" t="str">
        <f t="array" ref="H43">INDEX(_xlfn.UNIQUE($E43:$G43), MODE(MATCH(_xlfn.UNIQUE($E43:$G43), $E43:$G43, 0)))</f>
        <v>c</v>
      </c>
    </row>
    <row r="44" spans="1:8" ht="75" customHeight="1" x14ac:dyDescent="0.35">
      <c r="A44" s="1">
        <f>'Normalised Goal'!$A44</f>
        <v>38</v>
      </c>
      <c r="B44" s="1" t="str">
        <f>'Normalised Goal'!$B44</f>
        <v>G-43</v>
      </c>
      <c r="C44" s="6" t="str">
        <f>'Normalised Goal'!$C44</f>
        <v>As a Plan Review Staff member, I want to successfully Conduct a Plan Review Meeting with the Applicant.</v>
      </c>
      <c r="D44" s="6" t="str">
        <f>'Normalised Goal'!$E44</f>
        <v>successfully conduct</v>
      </c>
      <c r="E44" s="6" t="s">
        <v>741</v>
      </c>
      <c r="F44" s="6" t="s">
        <v>741</v>
      </c>
      <c r="G44" s="6" t="s">
        <v>741</v>
      </c>
      <c r="H44" s="6" t="str">
        <f t="array" ref="H44">INDEX(_xlfn.UNIQUE($E44:$G44), MODE(MATCH(_xlfn.UNIQUE($E44:$G44), $E44:$G44, 0)))</f>
        <v>c</v>
      </c>
    </row>
    <row r="45" spans="1:8" ht="45" customHeight="1" x14ac:dyDescent="0.35">
      <c r="A45" s="1">
        <f>'Normalised Goal'!$A45</f>
        <v>38</v>
      </c>
      <c r="B45" s="1" t="str">
        <f>'Normalised Goal'!$B45</f>
        <v>G-44</v>
      </c>
      <c r="C45" s="6" t="str">
        <f>'Normalised Goal'!$C45</f>
        <v>As a Plan Review Staff member, I want to record the outcome.</v>
      </c>
      <c r="D45" s="6" t="str">
        <f>'Normalised Goal'!$E45</f>
        <v>record</v>
      </c>
      <c r="E45" s="6" t="s">
        <v>741</v>
      </c>
      <c r="F45" s="6" t="s">
        <v>741</v>
      </c>
      <c r="G45" s="6" t="s">
        <v>741</v>
      </c>
      <c r="H45" s="6" t="str">
        <f t="array" ref="H45">INDEX(_xlfn.UNIQUE($E45:$G45), MODE(MATCH(_xlfn.UNIQUE($E45:$G45), $E45:$G45, 0)))</f>
        <v>c</v>
      </c>
    </row>
    <row r="46" spans="1:8" ht="45" customHeight="1" x14ac:dyDescent="0.35">
      <c r="A46" s="1">
        <f>'Normalised Goal'!$A46</f>
        <v>39</v>
      </c>
      <c r="B46" s="1" t="str">
        <f>'Normalised Goal'!$B46</f>
        <v>G-45</v>
      </c>
      <c r="C46" s="6" t="str">
        <f>'Normalised Goal'!$C46</f>
        <v>As a Plan Review Staff member, I want to Review Plans.</v>
      </c>
      <c r="D46" s="6" t="str">
        <f>'Normalised Goal'!$E46</f>
        <v>review</v>
      </c>
      <c r="E46" s="6" t="s">
        <v>740</v>
      </c>
      <c r="F46" s="6" t="s">
        <v>740</v>
      </c>
      <c r="G46" s="6" t="s">
        <v>740</v>
      </c>
      <c r="H46" s="6" t="str">
        <f t="array" ref="H46">INDEX(_xlfn.UNIQUE($E46:$G46), MODE(MATCH(_xlfn.UNIQUE($E46:$G46), $E46:$G46, 0)))</f>
        <v>r</v>
      </c>
    </row>
    <row r="47" spans="1:8" ht="30" customHeight="1" x14ac:dyDescent="0.35">
      <c r="A47" s="1">
        <f>'Normalised Goal'!$A47</f>
        <v>40</v>
      </c>
      <c r="B47" s="1" t="str">
        <f>'Normalised Goal'!$B47</f>
        <v>G-46</v>
      </c>
      <c r="C47" s="6" t="str">
        <f>'Normalised Goal'!$C47</f>
        <v>As an Applicant, I want to Resubmit Plans.</v>
      </c>
      <c r="D47" s="6" t="str">
        <f>'Normalised Goal'!$E47</f>
        <v>resubmit</v>
      </c>
      <c r="E47" s="6" t="s">
        <v>742</v>
      </c>
      <c r="F47" s="6" t="s">
        <v>742</v>
      </c>
      <c r="G47" s="6" t="s">
        <v>742</v>
      </c>
      <c r="H47" s="6" t="str">
        <f t="array" ref="H47">INDEX(_xlfn.UNIQUE($E47:$G47), MODE(MATCH(_xlfn.UNIQUE($E47:$G47), $E47:$G47, 0)))</f>
        <v>u</v>
      </c>
    </row>
    <row r="48" spans="1:8" ht="60" customHeight="1" x14ac:dyDescent="0.35">
      <c r="A48" s="1">
        <f>'Normalised Goal'!$A48</f>
        <v>41</v>
      </c>
      <c r="B48" s="1" t="str">
        <f>'Normalised Goal'!$B48</f>
        <v>G-47</v>
      </c>
      <c r="C48" s="6" t="str">
        <f>'Normalised Goal'!$C48</f>
        <v>As a Plan Review Staff Member, I want to Review the Code Modifications submitted by the Applicant.</v>
      </c>
      <c r="D48" s="6" t="str">
        <f>'Normalised Goal'!$E48</f>
        <v>review</v>
      </c>
      <c r="E48" s="6" t="s">
        <v>740</v>
      </c>
      <c r="F48" s="6" t="s">
        <v>740</v>
      </c>
      <c r="G48" s="6" t="s">
        <v>742</v>
      </c>
      <c r="H48" s="6" t="str">
        <f t="array" ref="H48">INDEX(_xlfn.UNIQUE($E48:$G48), MODE(MATCH(_xlfn.UNIQUE($E48:$G48), $E48:$G48, 0)))</f>
        <v>r</v>
      </c>
    </row>
    <row r="49" spans="1:8" ht="60" customHeight="1" x14ac:dyDescent="0.35">
      <c r="A49" s="1">
        <f>'Normalised Goal'!$A49</f>
        <v>42</v>
      </c>
      <c r="B49" s="1" t="str">
        <f>'Normalised Goal'!$B49</f>
        <v>G-48</v>
      </c>
      <c r="C49" s="6" t="str">
        <f>'Normalised Goal'!$C49</f>
        <v>As a Plan Review Staff member, I want to Track the Completion of Required Plan Reviews.</v>
      </c>
      <c r="D49" s="6" t="str">
        <f>'Normalised Goal'!$E49</f>
        <v>track</v>
      </c>
      <c r="E49" s="6" t="s">
        <v>740</v>
      </c>
      <c r="F49" s="6" t="s">
        <v>740</v>
      </c>
      <c r="G49" s="6" t="s">
        <v>741</v>
      </c>
      <c r="H49" s="6" t="str">
        <f t="array" ref="H49">INDEX(_xlfn.UNIQUE($E49:$G49), MODE(MATCH(_xlfn.UNIQUE($E49:$G49), $E49:$G49, 0)))</f>
        <v>r</v>
      </c>
    </row>
    <row r="50" spans="1:8" ht="45" customHeight="1" x14ac:dyDescent="0.35">
      <c r="A50" s="1">
        <f>'Normalised Goal'!$A50</f>
        <v>43</v>
      </c>
      <c r="B50" s="1" t="str">
        <f>'Normalised Goal'!$B50</f>
        <v>G-49</v>
      </c>
      <c r="C50" s="6" t="str">
        <f>'Normalised Goal'!$C50</f>
        <v>As a Development Staff member, I want to Issue a Development-related Permit.</v>
      </c>
      <c r="D50" s="6" t="str">
        <f>'Normalised Goal'!$E50</f>
        <v>issue</v>
      </c>
      <c r="E50" s="6" t="s">
        <v>741</v>
      </c>
      <c r="F50" s="6" t="s">
        <v>741</v>
      </c>
      <c r="G50" s="6" t="s">
        <v>741</v>
      </c>
      <c r="H50" s="6" t="str">
        <f t="array" ref="H50">INDEX(_xlfn.UNIQUE($E50:$G50), MODE(MATCH(_xlfn.UNIQUE($E50:$G50), $E50:$G50, 0)))</f>
        <v>c</v>
      </c>
    </row>
    <row r="51" spans="1:8" ht="30" customHeight="1" x14ac:dyDescent="0.35">
      <c r="A51" s="1">
        <f>'Normalised Goal'!$A51</f>
        <v>44</v>
      </c>
      <c r="B51" s="1" t="str">
        <f>'Normalised Goal'!$B51</f>
        <v>G-50</v>
      </c>
      <c r="C51" s="6" t="str">
        <f>'Normalised Goal'!$C51</f>
        <v>As a Staff member, I want to Manage Bonds.</v>
      </c>
      <c r="D51" s="6" t="str">
        <f>'Normalised Goal'!$E51</f>
        <v>manage</v>
      </c>
      <c r="E51" s="6" t="s">
        <v>742</v>
      </c>
      <c r="F51" s="6" t="s">
        <v>742</v>
      </c>
      <c r="G51" s="6" t="s">
        <v>742</v>
      </c>
      <c r="H51" s="6" t="str">
        <f t="array" ref="H51">INDEX(_xlfn.UNIQUE($E51:$G51), MODE(MATCH(_xlfn.UNIQUE($E51:$G51), $E51:$G51, 0)))</f>
        <v>u</v>
      </c>
    </row>
    <row r="52" spans="1:8" ht="45" customHeight="1" x14ac:dyDescent="0.35">
      <c r="A52" s="1">
        <f>'Normalised Goal'!$A52</f>
        <v>45</v>
      </c>
      <c r="B52" s="1" t="str">
        <f>'Normalised Goal'!$B52</f>
        <v>G-51</v>
      </c>
      <c r="C52" s="6" t="str">
        <f>'Normalised Goal'!$C52</f>
        <v>As an Applicant, I want to Complete Building Development Project.</v>
      </c>
      <c r="D52" s="6" t="str">
        <f>'Normalised Goal'!$E52</f>
        <v>complete</v>
      </c>
      <c r="E52" s="6" t="s">
        <v>742</v>
      </c>
      <c r="F52" s="6" t="s">
        <v>742</v>
      </c>
      <c r="G52" s="6" t="s">
        <v>742</v>
      </c>
      <c r="H52" s="6" t="str">
        <f t="array" ref="H52">INDEX(_xlfn.UNIQUE($E52:$G52), MODE(MATCH(_xlfn.UNIQUE($E52:$G52), $E52:$G52, 0)))</f>
        <v>u</v>
      </c>
    </row>
    <row r="53" spans="1:8" ht="30" customHeight="1" x14ac:dyDescent="0.35">
      <c r="A53" s="1">
        <f>'Normalised Goal'!$A53</f>
        <v>46</v>
      </c>
      <c r="B53" s="1" t="str">
        <f>'Normalised Goal'!$B53</f>
        <v>G-52</v>
      </c>
      <c r="C53" s="6" t="str">
        <f>'Normalised Goal'!$C53</f>
        <v>As a Customer, I want to Request Inspection.</v>
      </c>
      <c r="D53" s="6" t="str">
        <f>'Normalised Goal'!$E53</f>
        <v>request</v>
      </c>
      <c r="E53" s="6" t="s">
        <v>741</v>
      </c>
      <c r="F53" s="6" t="s">
        <v>741</v>
      </c>
      <c r="G53" s="6" t="s">
        <v>741</v>
      </c>
      <c r="H53" s="6" t="str">
        <f t="array" ref="H53">INDEX(_xlfn.UNIQUE($E53:$G53), MODE(MATCH(_xlfn.UNIQUE($E53:$G53), $E53:$G53, 0)))</f>
        <v>c</v>
      </c>
    </row>
    <row r="54" spans="1:8" ht="45" customHeight="1" x14ac:dyDescent="0.35">
      <c r="A54" s="1">
        <f>'Normalised Goal'!$A54</f>
        <v>47</v>
      </c>
      <c r="B54" s="1" t="str">
        <f>'Normalised Goal'!$B54</f>
        <v>G-53</v>
      </c>
      <c r="C54" s="6" t="str">
        <f>'Normalised Goal'!$C54</f>
        <v>As an Inspection Staff member, I want to Create an Inspection.</v>
      </c>
      <c r="D54" s="6" t="str">
        <f>'Normalised Goal'!$E54</f>
        <v>create</v>
      </c>
      <c r="E54" s="6" t="s">
        <v>741</v>
      </c>
      <c r="F54" s="6" t="s">
        <v>741</v>
      </c>
      <c r="G54" s="6" t="s">
        <v>741</v>
      </c>
      <c r="H54" s="6" t="str">
        <f t="array" ref="H54">INDEX(_xlfn.UNIQUE($E54:$G54), MODE(MATCH(_xlfn.UNIQUE($E54:$G54), $E54:$G54, 0)))</f>
        <v>c</v>
      </c>
    </row>
    <row r="55" spans="1:8" ht="45" customHeight="1" x14ac:dyDescent="0.35">
      <c r="A55" s="1">
        <f>'Normalised Goal'!$A55</f>
        <v>48</v>
      </c>
      <c r="B55" s="1" t="str">
        <f>'Normalised Goal'!$B55</f>
        <v>G-54</v>
      </c>
      <c r="C55" s="6" t="str">
        <f>'Normalised Goal'!$C55</f>
        <v>As an Inspection Staff Supervisor, I want to Assign Inspections.</v>
      </c>
      <c r="D55" s="6" t="str">
        <f>'Normalised Goal'!$E55</f>
        <v>assign</v>
      </c>
      <c r="E55" s="6" t="s">
        <v>741</v>
      </c>
      <c r="F55" s="6" t="s">
        <v>741</v>
      </c>
      <c r="G55" s="6" t="s">
        <v>741</v>
      </c>
      <c r="H55" s="6" t="str">
        <f t="array" ref="H55">INDEX(_xlfn.UNIQUE($E55:$G55), MODE(MATCH(_xlfn.UNIQUE($E55:$G55), $E55:$G55, 0)))</f>
        <v>c</v>
      </c>
    </row>
    <row r="56" spans="1:8" ht="45" customHeight="1" x14ac:dyDescent="0.35">
      <c r="A56" s="1">
        <f>'Normalised Goal'!$A56</f>
        <v>49</v>
      </c>
      <c r="B56" s="1" t="str">
        <f>'Normalised Goal'!$B56</f>
        <v>G-55</v>
      </c>
      <c r="C56" s="6" t="str">
        <f>'Normalised Goal'!$C56</f>
        <v>As an Inspection Supervisor, I want to Manage Inspector Workload.</v>
      </c>
      <c r="D56" s="6" t="str">
        <f>'Normalised Goal'!$E56</f>
        <v>manage</v>
      </c>
      <c r="E56" s="6" t="s">
        <v>742</v>
      </c>
      <c r="F56" s="6" t="s">
        <v>742</v>
      </c>
      <c r="G56" s="6" t="s">
        <v>742</v>
      </c>
      <c r="H56" s="6" t="str">
        <f t="array" ref="H56">INDEX(_xlfn.UNIQUE($E56:$G56), MODE(MATCH(_xlfn.UNIQUE($E56:$G56), $E56:$G56, 0)))</f>
        <v>u</v>
      </c>
    </row>
    <row r="57" spans="1:8" ht="30" customHeight="1" x14ac:dyDescent="0.35">
      <c r="A57" s="1">
        <f>'Normalised Goal'!$A57</f>
        <v>50</v>
      </c>
      <c r="B57" s="1" t="str">
        <f>'Normalised Goal'!$B57</f>
        <v>G-56</v>
      </c>
      <c r="C57" s="6" t="str">
        <f>'Normalised Goal'!$C57</f>
        <v>As an Inspector, I want to Conduct Inspections.</v>
      </c>
      <c r="D57" s="6" t="str">
        <f>'Normalised Goal'!$E57</f>
        <v>conduct</v>
      </c>
      <c r="E57" s="6" t="s">
        <v>741</v>
      </c>
      <c r="F57" s="6" t="s">
        <v>741</v>
      </c>
      <c r="G57" s="6" t="s">
        <v>741</v>
      </c>
      <c r="H57" s="6" t="str">
        <f t="array" ref="H57">INDEX(_xlfn.UNIQUE($E57:$G57), MODE(MATCH(_xlfn.UNIQUE($E57:$G57), $E57:$G57, 0)))</f>
        <v>c</v>
      </c>
    </row>
    <row r="58" spans="1:8" ht="30" customHeight="1" x14ac:dyDescent="0.35">
      <c r="A58" s="1">
        <f>'Normalised Goal'!$A58</f>
        <v>51</v>
      </c>
      <c r="B58" s="1" t="str">
        <f>'Normalised Goal'!$B58</f>
        <v>G-57</v>
      </c>
      <c r="C58" s="6" t="str">
        <f>'Normalised Goal'!$C58</f>
        <v>As an Inspector, I want to Conduct Inspections.</v>
      </c>
      <c r="D58" s="6" t="str">
        <f>'Normalised Goal'!$E58</f>
        <v>conduct</v>
      </c>
      <c r="E58" s="6" t="s">
        <v>741</v>
      </c>
      <c r="F58" s="6" t="s">
        <v>741</v>
      </c>
      <c r="G58" s="6" t="s">
        <v>741</v>
      </c>
      <c r="H58" s="6" t="str">
        <f t="array" ref="H58">INDEX(_xlfn.UNIQUE($E58:$G58), MODE(MATCH(_xlfn.UNIQUE($E58:$G58), $E58:$G58, 0)))</f>
        <v>c</v>
      </c>
    </row>
    <row r="59" spans="1:8" ht="45" customHeight="1" x14ac:dyDescent="0.35">
      <c r="A59" s="1">
        <f>'Normalised Goal'!$A59</f>
        <v>52</v>
      </c>
      <c r="B59" s="1" t="str">
        <f>'Normalised Goal'!$B59</f>
        <v>G-58</v>
      </c>
      <c r="C59" s="6" t="str">
        <f>'Normalised Goal'!$C59</f>
        <v>As an Enforcement Staff member, I want to Issue a Notice of Violation.</v>
      </c>
      <c r="D59" s="6" t="str">
        <f>'Normalised Goal'!$E59</f>
        <v>issue</v>
      </c>
      <c r="E59" s="6" t="s">
        <v>741</v>
      </c>
      <c r="F59" s="6" t="s">
        <v>741</v>
      </c>
      <c r="G59" s="6" t="s">
        <v>741</v>
      </c>
      <c r="H59" s="6" t="str">
        <f t="array" ref="H59">INDEX(_xlfn.UNIQUE($E59:$G59), MODE(MATCH(_xlfn.UNIQUE($E59:$G59), $E59:$G59, 0)))</f>
        <v>c</v>
      </c>
    </row>
    <row r="60" spans="1:8" ht="45" customHeight="1" x14ac:dyDescent="0.35">
      <c r="A60" s="1">
        <f>'Normalised Goal'!$A60</f>
        <v>53</v>
      </c>
      <c r="B60" s="1" t="str">
        <f>'Normalised Goal'!$B60</f>
        <v>G-59</v>
      </c>
      <c r="C60" s="6" t="str">
        <f>'Normalised Goal'!$C60</f>
        <v>As a l Staff member, I want to search for Property information.</v>
      </c>
      <c r="D60" s="6" t="str">
        <f>'Normalised Goal'!$E60</f>
        <v>search</v>
      </c>
      <c r="E60" s="6" t="s">
        <v>740</v>
      </c>
      <c r="F60" s="6" t="s">
        <v>740</v>
      </c>
      <c r="G60" s="6" t="s">
        <v>740</v>
      </c>
      <c r="H60" s="6" t="str">
        <f t="array" ref="H60">INDEX(_xlfn.UNIQUE($E60:$G60), MODE(MATCH(_xlfn.UNIQUE($E60:$G60), $E60:$G60, 0)))</f>
        <v>r</v>
      </c>
    </row>
    <row r="61" spans="1:8" ht="45" customHeight="1" x14ac:dyDescent="0.35">
      <c r="A61" s="1">
        <f>'Normalised Goal'!$A61</f>
        <v>54</v>
      </c>
      <c r="B61" s="1" t="str">
        <f>'Normalised Goal'!$B61</f>
        <v>G-60</v>
      </c>
      <c r="C61" s="6" t="str">
        <f>'Normalised Goal'!$C61</f>
        <v>As a Staff member, I need to be notified when Geospatial attributes change.</v>
      </c>
      <c r="D61" s="6" t="str">
        <f>'Normalised Goal'!$E61</f>
        <v>be notify</v>
      </c>
      <c r="E61" s="6" t="s">
        <v>740</v>
      </c>
      <c r="F61" s="6" t="s">
        <v>740</v>
      </c>
      <c r="G61" s="6" t="s">
        <v>740</v>
      </c>
      <c r="H61" s="6" t="str">
        <f t="array" ref="H61">INDEX(_xlfn.UNIQUE($E61:$G61), MODE(MATCH(_xlfn.UNIQUE($E61:$G61), $E61:$G61, 0)))</f>
        <v>r</v>
      </c>
    </row>
    <row r="62" spans="1:8" ht="75" customHeight="1" x14ac:dyDescent="0.35">
      <c r="A62" s="1">
        <f>'Normalised Goal'!$A62</f>
        <v>55</v>
      </c>
      <c r="B62" s="1" t="str">
        <f>'Normalised Goal'!$B62</f>
        <v>G-61</v>
      </c>
      <c r="C62" s="6" t="str">
        <f>'Normalised Goal'!$C62</f>
        <v>As a County Staff Member, I want to create a custom query/report outside of the common querying/reporting functionality.</v>
      </c>
      <c r="D62" s="6" t="str">
        <f>'Normalised Goal'!$E62</f>
        <v>create</v>
      </c>
      <c r="E62" s="6" t="s">
        <v>741</v>
      </c>
      <c r="F62" s="6" t="s">
        <v>741</v>
      </c>
      <c r="G62" s="6" t="s">
        <v>741</v>
      </c>
      <c r="H62" s="6" t="str">
        <f t="array" ref="H62">INDEX(_xlfn.UNIQUE($E62:$G62), MODE(MATCH(_xlfn.UNIQUE($E62:$G62), $E62:$G62, 0)))</f>
        <v>c</v>
      </c>
    </row>
    <row r="63" spans="1:8" ht="30" customHeight="1" x14ac:dyDescent="0.35">
      <c r="A63" s="1">
        <f>'Normalised Goal'!$A63</f>
        <v>56</v>
      </c>
      <c r="B63" s="1" t="str">
        <f>'Normalised Goal'!$B63</f>
        <v>G-62</v>
      </c>
      <c r="C63" s="6" t="str">
        <f>'Normalised Goal'!$C63</f>
        <v>As a Staff member, I want to create each condo unit.</v>
      </c>
      <c r="D63" s="6" t="str">
        <f>'Normalised Goal'!$E63</f>
        <v>create</v>
      </c>
      <c r="E63" s="6" t="s">
        <v>741</v>
      </c>
      <c r="F63" s="6" t="s">
        <v>741</v>
      </c>
      <c r="G63" s="6" t="s">
        <v>741</v>
      </c>
      <c r="H63" s="6" t="str">
        <f t="array" ref="H63">INDEX(_xlfn.UNIQUE($E63:$G63), MODE(MATCH(_xlfn.UNIQUE($E63:$G63), $E63:$G63, 0)))</f>
        <v>c</v>
      </c>
    </row>
    <row r="64" spans="1:8" ht="45" customHeight="1" x14ac:dyDescent="0.35">
      <c r="A64" s="1">
        <f>'Normalised Goal'!$A64</f>
        <v>57</v>
      </c>
      <c r="B64" s="1" t="str">
        <f>'Normalised Goal'!$B64</f>
        <v>G-63</v>
      </c>
      <c r="C64" s="6" t="str">
        <f>'Normalised Goal'!$C64</f>
        <v>As a Technical Staff member, I want to update the GIS Property Management.</v>
      </c>
      <c r="D64" s="6" t="str">
        <f>'Normalised Goal'!$E64</f>
        <v>update</v>
      </c>
      <c r="E64" s="6" t="s">
        <v>742</v>
      </c>
      <c r="F64" s="6" t="s">
        <v>742</v>
      </c>
      <c r="G64" s="6" t="s">
        <v>742</v>
      </c>
      <c r="H64" s="6" t="str">
        <f t="array" ref="H64">INDEX(_xlfn.UNIQUE($E64:$G64), MODE(MATCH(_xlfn.UNIQUE($E64:$G64), $E64:$G64, 0)))</f>
        <v>u</v>
      </c>
    </row>
    <row r="65" spans="1:8" ht="30" customHeight="1" x14ac:dyDescent="0.35">
      <c r="A65" s="1">
        <f>'Normalised Goal'!$A65</f>
        <v>58</v>
      </c>
      <c r="B65" s="1" t="str">
        <f>'Normalised Goal'!$B65</f>
        <v>G-64</v>
      </c>
      <c r="C65" s="6" t="str">
        <f>'Normalised Goal'!$C65</f>
        <v>As a Staff member, I want to Send Citations.</v>
      </c>
      <c r="D65" s="6" t="str">
        <f>'Normalised Goal'!$E65</f>
        <v>send</v>
      </c>
      <c r="E65" s="6" t="s">
        <v>741</v>
      </c>
      <c r="F65" s="6" t="s">
        <v>741</v>
      </c>
      <c r="G65" s="6" t="s">
        <v>741</v>
      </c>
      <c r="H65" s="6" t="str">
        <f t="array" ref="H65">INDEX(_xlfn.UNIQUE($E65:$G65), MODE(MATCH(_xlfn.UNIQUE($E65:$G65), $E65:$G65, 0)))</f>
        <v>c</v>
      </c>
    </row>
    <row r="66" spans="1:8" ht="30" customHeight="1" x14ac:dyDescent="0.35">
      <c r="A66" s="1">
        <f>'Normalised Goal'!$A66</f>
        <v>58</v>
      </c>
      <c r="B66" s="1" t="str">
        <f>'Normalised Goal'!$B66</f>
        <v>G-65</v>
      </c>
      <c r="C66" s="6" t="str">
        <f>'Normalised Goal'!$C66</f>
        <v>As a Staff member, I want to Post Citations.</v>
      </c>
      <c r="D66" s="6" t="str">
        <f>'Normalised Goal'!$E66</f>
        <v>post</v>
      </c>
      <c r="E66" s="6" t="s">
        <v>741</v>
      </c>
      <c r="F66" s="6" t="s">
        <v>741</v>
      </c>
      <c r="G66" s="6" t="s">
        <v>741</v>
      </c>
      <c r="H66" s="6" t="str">
        <f t="array" ref="H66">INDEX(_xlfn.UNIQUE($E66:$G66), MODE(MATCH(_xlfn.UNIQUE($E66:$G66), $E66:$G66, 0)))</f>
        <v>c</v>
      </c>
    </row>
    <row r="67" spans="1:8" ht="30" customHeight="1" x14ac:dyDescent="0.35">
      <c r="A67" s="1">
        <f>'Normalised Goal'!$A67</f>
        <v>58</v>
      </c>
      <c r="B67" s="1" t="str">
        <f>'Normalised Goal'!$B67</f>
        <v>G-66</v>
      </c>
      <c r="C67" s="6" t="str">
        <f>'Normalised Goal'!$C67</f>
        <v>As a Staff member, I want to Post Fines.</v>
      </c>
      <c r="D67" s="6" t="str">
        <f>'Normalised Goal'!$E67</f>
        <v>post</v>
      </c>
      <c r="E67" s="6" t="s">
        <v>741</v>
      </c>
      <c r="F67" s="6" t="s">
        <v>741</v>
      </c>
      <c r="G67" s="6" t="s">
        <v>741</v>
      </c>
      <c r="H67" s="6" t="str">
        <f t="array" ref="H67">INDEX(_xlfn.UNIQUE($E67:$G67), MODE(MATCH(_xlfn.UNIQUE($E67:$G67), $E67:$G67, 0)))</f>
        <v>c</v>
      </c>
    </row>
    <row r="68" spans="1:8" ht="30" customHeight="1" x14ac:dyDescent="0.35">
      <c r="A68" s="1">
        <f>'Normalised Goal'!$A68</f>
        <v>58</v>
      </c>
      <c r="B68" s="1" t="str">
        <f>'Normalised Goal'!$B68</f>
        <v>G-67</v>
      </c>
      <c r="C68" s="6" t="str">
        <f>'Normalised Goal'!$C68</f>
        <v>As a Staff member, I want to Send Fines.</v>
      </c>
      <c r="D68" s="6" t="str">
        <f>'Normalised Goal'!$E68</f>
        <v>send</v>
      </c>
      <c r="E68" s="6" t="s">
        <v>741</v>
      </c>
      <c r="F68" s="6" t="s">
        <v>741</v>
      </c>
      <c r="G68" s="6" t="s">
        <v>741</v>
      </c>
      <c r="H68" s="6" t="str">
        <f t="array" ref="H68">INDEX(_xlfn.UNIQUE($E68:$G68), MODE(MATCH(_xlfn.UNIQUE($E68:$G68), $E68:$G68, 0)))</f>
        <v>c</v>
      </c>
    </row>
  </sheetData>
  <autoFilter ref="A1:H68" xr:uid="{00000000-0009-0000-0000-000004000000}"/>
  <mergeCells count="1"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Original Dataset</vt:lpstr>
      <vt:lpstr>Normalised</vt:lpstr>
      <vt:lpstr>Normalised Goal</vt:lpstr>
      <vt:lpstr>CRUD-MAPPING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Sebastian Hofmann</dc:creator>
  <cp:lastModifiedBy>Lukas Sebastian Hofmann</cp:lastModifiedBy>
  <dcterms:created xsi:type="dcterms:W3CDTF">2025-11-11T11:50:23Z</dcterms:created>
  <dcterms:modified xsi:type="dcterms:W3CDTF">2026-05-18T14:53:19Z</dcterms:modified>
</cp:coreProperties>
</file>