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fmann\Documents\GitHub\2026_RE_Dependency_Artefacts\Datasets\elaborated_ground_truth\"/>
    </mc:Choice>
  </mc:AlternateContent>
  <xr:revisionPtr revIDLastSave="0" documentId="13_ncr:1_{433F6933-FD2D-45C4-B6B3-37EC10202C30}" xr6:coauthVersionLast="47" xr6:coauthVersionMax="47" xr10:uidLastSave="{00000000-0000-0000-0000-000000000000}"/>
  <bookViews>
    <workbookView xWindow="-28920" yWindow="14145" windowWidth="29040" windowHeight="17520" xr2:uid="{9FCA6C5C-8F6B-4246-8899-227C3B5156F0}"/>
  </bookViews>
  <sheets>
    <sheet name="Info" sheetId="12" r:id="rId1"/>
    <sheet name="Original Dataset" sheetId="9" r:id="rId2"/>
    <sheet name="Normalised" sheetId="1" r:id="rId3"/>
    <sheet name="CRUD-MAPPING" sheetId="2" r:id="rId4"/>
    <sheet name="HS4SemOfE" sheetId="16" r:id="rId5"/>
  </sheets>
  <definedNames>
    <definedName name="_xlnm._FilterDatabase" localSheetId="3" hidden="1">'CRUD-MAPPING'!$B$2:$J$2</definedName>
    <definedName name="_xlnm._FilterDatabase" localSheetId="4" hidden="1">HS4SemOfE!$A$1:$J$1</definedName>
    <definedName name="_xlnm._FilterDatabase" localSheetId="2" hidden="1">Normalised!$A$2:$K$2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6" l="1" a="1"/>
  <c r="J4" i="16" s="1"/>
  <c r="J5" i="16" a="1"/>
  <c r="J5" i="16" s="1"/>
  <c r="I4" i="16" a="1"/>
  <c r="I4" i="16" s="1"/>
  <c r="I5" i="16" a="1"/>
  <c r="I5" i="16" s="1"/>
  <c r="H4" i="16" a="1"/>
  <c r="H4" i="16" s="1"/>
  <c r="H5" i="16" a="1"/>
  <c r="H5" i="16" s="1"/>
  <c r="G4" i="16" a="1"/>
  <c r="G4" i="16" s="1"/>
  <c r="G5" i="16" a="1"/>
  <c r="G5" i="16" s="1"/>
  <c r="F4" i="16"/>
  <c r="F5" i="16"/>
  <c r="J4" i="2" a="1"/>
  <c r="J4" i="2" s="1"/>
  <c r="J5" i="2" a="1"/>
  <c r="J5" i="2" s="1"/>
  <c r="I4" i="2"/>
  <c r="I5" i="2"/>
  <c r="H4" i="2" a="1"/>
  <c r="H4" i="2" s="1"/>
  <c r="H5" i="2" a="1"/>
  <c r="H5" i="2" s="1"/>
  <c r="G4" i="2"/>
  <c r="G5" i="2"/>
  <c r="F4" i="2" a="1"/>
  <c r="F4" i="2" s="1"/>
  <c r="F5" i="2" a="1"/>
  <c r="F5" i="2" s="1"/>
  <c r="D3" i="1"/>
  <c r="F3" i="1"/>
  <c r="I3" i="1"/>
  <c r="D4" i="1"/>
  <c r="F4" i="1"/>
  <c r="I4" i="1"/>
  <c r="D5" i="1"/>
  <c r="F5" i="1"/>
  <c r="I5" i="1"/>
  <c r="D6" i="1"/>
  <c r="F6" i="1"/>
  <c r="I6" i="1"/>
  <c r="D7" i="1"/>
  <c r="F7" i="1"/>
  <c r="I7" i="1"/>
  <c r="D8" i="1"/>
  <c r="F8" i="1"/>
  <c r="I8" i="1"/>
  <c r="D9" i="1"/>
  <c r="F9" i="1"/>
  <c r="I9" i="1"/>
  <c r="D10" i="1"/>
  <c r="F10" i="1"/>
  <c r="I10" i="1"/>
  <c r="D11" i="1"/>
  <c r="F11" i="1"/>
  <c r="I11" i="1"/>
  <c r="D12" i="1"/>
  <c r="F12" i="1"/>
  <c r="I12" i="1"/>
  <c r="D13" i="1"/>
  <c r="F13" i="1"/>
  <c r="I13" i="1"/>
  <c r="D14" i="1"/>
  <c r="F14" i="1"/>
  <c r="I14" i="1"/>
  <c r="D15" i="1"/>
  <c r="F15" i="1"/>
  <c r="I15" i="1"/>
  <c r="J2" i="16" a="1"/>
  <c r="J2" i="16" s="1"/>
  <c r="I2" i="16" a="1"/>
  <c r="I2" i="16" s="1"/>
  <c r="H2" i="16" a="1"/>
  <c r="H2" i="16" s="1"/>
  <c r="G2" i="16" a="1"/>
  <c r="G2" i="16" s="1"/>
  <c r="F3" i="16"/>
  <c r="G3" i="16" s="1" a="1"/>
  <c r="G3" i="16" s="1"/>
  <c r="F2" i="16"/>
  <c r="F3" i="2" a="1"/>
  <c r="F3" i="2" s="1"/>
  <c r="J3" i="2" a="1"/>
  <c r="J3" i="2" s="1"/>
  <c r="G3" i="2"/>
  <c r="H3" i="2" a="1"/>
  <c r="H3" i="2" s="1"/>
  <c r="I3" i="2"/>
  <c r="H3" i="16" l="1" a="1"/>
  <c r="H3" i="16" s="1"/>
  <c r="I3" i="16" a="1"/>
  <c r="I3" i="16" s="1"/>
  <c r="J3" i="16" a="1"/>
  <c r="J3" i="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<sst xmlns="http://schemas.openxmlformats.org/spreadsheetml/2006/main" count="230" uniqueCount="62">
  <si>
    <t>User Story Text</t>
  </si>
  <si>
    <t>Persona</t>
  </si>
  <si>
    <t>Entity</t>
  </si>
  <si>
    <t>Goal - Action</t>
  </si>
  <si>
    <t>Benefit - Action</t>
  </si>
  <si>
    <t>Activitiy</t>
  </si>
  <si>
    <t>/</t>
  </si>
  <si>
    <t>PID</t>
  </si>
  <si>
    <t>ORIGINAL USID</t>
  </si>
  <si>
    <t>Goal - Action (in their baseform)</t>
  </si>
  <si>
    <t>Benefit - Action (in their baseform)</t>
  </si>
  <si>
    <t>We have a modular approach for the data classification</t>
  </si>
  <si>
    <t>Entity 1</t>
  </si>
  <si>
    <t>Entity 2</t>
  </si>
  <si>
    <t>user</t>
  </si>
  <si>
    <t>test user</t>
  </si>
  <si>
    <t>manage</t>
  </si>
  <si>
    <t>edit</t>
  </si>
  <si>
    <t>Mapped</t>
  </si>
  <si>
    <t>create</t>
  </si>
  <si>
    <t>ID</t>
  </si>
  <si>
    <t>database</t>
  </si>
  <si>
    <t>database admin</t>
  </si>
  <si>
    <t>HS= Helpersheet</t>
  </si>
  <si>
    <t>P=Persona</t>
  </si>
  <si>
    <t>A=Activity</t>
  </si>
  <si>
    <t>E=Entity</t>
  </si>
  <si>
    <t>First Appearance in  USIDs in Benefit-Part</t>
  </si>
  <si>
    <t>All Appearances in Goal-Part (USIDs)</t>
  </si>
  <si>
    <t>First Appearance in Goal-Part (USID)</t>
  </si>
  <si>
    <t>All Appearances in Benefit-Part (USIDs)</t>
  </si>
  <si>
    <t>c</t>
  </si>
  <si>
    <t>ALL Appearances in Goal-Part (USIDs)</t>
  </si>
  <si>
    <t>First Appearance in Benefit-Part (USID)</t>
  </si>
  <si>
    <t>ALL Appearances in Benefit-Part (USIDs)</t>
  </si>
  <si>
    <t>database row</t>
  </si>
  <si>
    <t>project lead</t>
  </si>
  <si>
    <t>project leader</t>
  </si>
  <si>
    <t>Majority Decision</t>
  </si>
  <si>
    <t>d</t>
  </si>
  <si>
    <t>CRUD-Mapping (Possibilities C=Create, R=Read, U=Update, D=Delete)</t>
  </si>
  <si>
    <t>Majority Vote Result</t>
  </si>
  <si>
    <t>We consider only unique pairs as if "database entry" == "database entry point" or "database entry point" == "database entry" is semantically equivalent. In addition, the formula removes reflexive USIDs (e.g., 11--11) and deduplicates symmetric pairs, ensuring that combinations like 11--13 and 13--11 appear only once.</t>
  </si>
  <si>
    <t>As a database admin, I want to create the database, so that I can successfully set up a new database.</t>
  </si>
  <si>
    <t>As a user, I want to create the database, so that I can initialize a new database for storing data.</t>
  </si>
  <si>
    <t>As a user, I want to create the database, so that I can begin organizing information in a new database.</t>
  </si>
  <si>
    <t>As a test user, I want to manage the database rows, so that I can control and adjust stored rows as needed.</t>
  </si>
  <si>
    <t>As a user, I want to edit the database rows, so that I can update existing row information when necessary.</t>
  </si>
  <si>
    <t>As a test user, I want to manage the database rows, so that I can maintain the row data used during testing.</t>
  </si>
  <si>
    <t>As a user, I want to manage the database rows, so that I can maintain accurate and organized row information.</t>
  </si>
  <si>
    <t>As a test user, I want to edit the database rows, so that I can modify row values to support testing scenarios.</t>
  </si>
  <si>
    <t>As a user, I want to manage the database rows, so that I can ensure the stored rows remain correct and updated.</t>
  </si>
  <si>
    <t>As a project lead, I want to manage the database, so that I can ensure the database remains consistent and reliable.</t>
  </si>
  <si>
    <t>As a project leader, I want to manage the database, so that I can oversee and maintain database quality.</t>
  </si>
  <si>
    <t>As a project lead, I want to manage the database, so that I can keep the project’s data organized and maintained.</t>
  </si>
  <si>
    <t>As a project leader, I want to manage the database, so that I can ensure stable and secure database operations.</t>
  </si>
  <si>
    <t>u</t>
  </si>
  <si>
    <t>Entity 2 is semantical equivalent to Activity 1 (yes/no)</t>
  </si>
  <si>
    <t>semantisch äquivalenent ist gleich und ähnlich oder halt auch abkürzungen und so</t>
  </si>
  <si>
    <t xml:space="preserve">context mit nehmen (mit für die Eval nehmen) </t>
  </si>
  <si>
    <t>User Story</t>
  </si>
  <si>
    <t>wir könnten auch nur mal anschauen wie die Verbs gematched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</si>
</sst>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E515-DEA2-430B-BE41-E38D5B3B8418}">
  <dimension ref="A2:A6"/>
  <sheetViews>
    <sheetView tabSelected="1" workbookViewId="0">
      <selection activeCell="G23" sqref="G23"/>
    </sheetView>
  </sheetViews>
  <sheetFormatPr defaultColWidth="8.7265625" defaultRowHeight="14.5" x14ac:dyDescent="0.35"/>
  <sheetData>
    <row r="2" spans="1:1" x14ac:dyDescent="0.35">
      <c r="A2" t="s">
        <v>11</v>
      </c>
    </row>
    <row r="3" spans="1:1" x14ac:dyDescent="0.35">
      <c r="A3" t="s">
        <v>23</v>
      </c>
    </row>
    <row r="4" spans="1:1" x14ac:dyDescent="0.35">
      <c r="A4" t="s">
        <v>24</v>
      </c>
    </row>
    <row r="5" spans="1:1" x14ac:dyDescent="0.35">
      <c r="A5" t="s">
        <v>25</v>
      </c>
    </row>
    <row r="6" spans="1:1" x14ac:dyDescent="0.35">
      <c r="A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B94A-12ED-422D-9693-A36698B9FA4C}">
  <dimension ref="A1:F15"/>
  <sheetViews>
    <sheetView zoomScale="220" zoomScaleNormal="220" workbookViewId="0">
      <selection activeCell="C21" sqref="C21"/>
    </sheetView>
  </sheetViews>
  <sheetFormatPr defaultColWidth="8.7265625" defaultRowHeight="14.5" x14ac:dyDescent="0.35"/>
  <cols>
    <col min="1" max="1" width="13.6328125" style="3" customWidth="1"/>
    <col min="2" max="6" width="13.6328125" customWidth="1"/>
  </cols>
  <sheetData>
    <row r="1" spans="1:6" x14ac:dyDescent="0.35">
      <c r="A1" s="12" t="s">
        <v>6</v>
      </c>
      <c r="B1" s="12"/>
      <c r="C1" s="12" t="s">
        <v>3</v>
      </c>
      <c r="D1" s="12"/>
      <c r="E1" s="12" t="s">
        <v>4</v>
      </c>
      <c r="F1" s="12"/>
    </row>
    <row r="2" spans="1:6" x14ac:dyDescent="0.35">
      <c r="A2" s="2" t="s">
        <v>0</v>
      </c>
      <c r="B2" s="2" t="s">
        <v>1</v>
      </c>
      <c r="C2" s="2" t="s">
        <v>5</v>
      </c>
      <c r="D2" s="2" t="s">
        <v>2</v>
      </c>
      <c r="E2" s="2" t="s">
        <v>5</v>
      </c>
      <c r="F2" s="2" t="s">
        <v>2</v>
      </c>
    </row>
    <row r="3" spans="1:6" x14ac:dyDescent="0.35">
      <c r="A3" s="1" t="s">
        <v>43</v>
      </c>
      <c r="B3" s="1" t="s">
        <v>22</v>
      </c>
      <c r="C3" s="1" t="s">
        <v>19</v>
      </c>
      <c r="D3" s="1" t="s">
        <v>21</v>
      </c>
      <c r="E3" s="1" t="s">
        <v>19</v>
      </c>
      <c r="F3" s="1" t="s">
        <v>21</v>
      </c>
    </row>
    <row r="4" spans="1:6" x14ac:dyDescent="0.35">
      <c r="A4" s="1" t="s">
        <v>44</v>
      </c>
      <c r="B4" s="1" t="s">
        <v>14</v>
      </c>
      <c r="C4" s="1" t="s">
        <v>19</v>
      </c>
      <c r="D4" s="1" t="s">
        <v>21</v>
      </c>
      <c r="E4" s="1" t="s">
        <v>19</v>
      </c>
      <c r="F4" s="1" t="s">
        <v>21</v>
      </c>
    </row>
    <row r="5" spans="1:6" x14ac:dyDescent="0.35">
      <c r="A5" s="1" t="s">
        <v>45</v>
      </c>
      <c r="B5" s="1" t="s">
        <v>14</v>
      </c>
      <c r="C5" s="1" t="s">
        <v>19</v>
      </c>
      <c r="D5" s="1" t="s">
        <v>21</v>
      </c>
      <c r="E5" s="1" t="s">
        <v>19</v>
      </c>
      <c r="F5" s="1" t="s">
        <v>21</v>
      </c>
    </row>
    <row r="6" spans="1:6" x14ac:dyDescent="0.35">
      <c r="A6" s="1" t="s">
        <v>46</v>
      </c>
      <c r="B6" s="1" t="s">
        <v>15</v>
      </c>
      <c r="C6" s="1" t="s">
        <v>16</v>
      </c>
      <c r="D6" s="1" t="s">
        <v>35</v>
      </c>
      <c r="E6" s="1" t="s">
        <v>16</v>
      </c>
      <c r="F6" s="1" t="s">
        <v>35</v>
      </c>
    </row>
    <row r="7" spans="1:6" x14ac:dyDescent="0.35">
      <c r="A7" s="1" t="s">
        <v>47</v>
      </c>
      <c r="B7" s="1" t="s">
        <v>14</v>
      </c>
      <c r="C7" s="1" t="s">
        <v>17</v>
      </c>
      <c r="D7" s="1" t="s">
        <v>35</v>
      </c>
      <c r="E7" s="1" t="s">
        <v>17</v>
      </c>
      <c r="F7" s="1" t="s">
        <v>35</v>
      </c>
    </row>
    <row r="8" spans="1:6" x14ac:dyDescent="0.35">
      <c r="A8" s="1" t="s">
        <v>48</v>
      </c>
      <c r="B8" s="1" t="s">
        <v>15</v>
      </c>
      <c r="C8" s="1" t="s">
        <v>16</v>
      </c>
      <c r="D8" s="1" t="s">
        <v>35</v>
      </c>
      <c r="E8" s="1" t="s">
        <v>16</v>
      </c>
      <c r="F8" s="1" t="s">
        <v>35</v>
      </c>
    </row>
    <row r="9" spans="1:6" x14ac:dyDescent="0.35">
      <c r="A9" s="1" t="s">
        <v>49</v>
      </c>
      <c r="B9" s="1" t="s">
        <v>14</v>
      </c>
      <c r="C9" s="1" t="s">
        <v>16</v>
      </c>
      <c r="D9" s="1" t="s">
        <v>35</v>
      </c>
      <c r="E9" s="1" t="s">
        <v>17</v>
      </c>
      <c r="F9" s="1" t="s">
        <v>35</v>
      </c>
    </row>
    <row r="10" spans="1:6" x14ac:dyDescent="0.35">
      <c r="A10" s="1" t="s">
        <v>50</v>
      </c>
      <c r="B10" s="1" t="s">
        <v>15</v>
      </c>
      <c r="C10" s="1" t="s">
        <v>17</v>
      </c>
      <c r="D10" s="1" t="s">
        <v>35</v>
      </c>
      <c r="E10" s="1" t="s">
        <v>16</v>
      </c>
      <c r="F10" s="1" t="s">
        <v>35</v>
      </c>
    </row>
    <row r="11" spans="1:6" x14ac:dyDescent="0.35">
      <c r="A11" s="1" t="s">
        <v>51</v>
      </c>
      <c r="B11" s="1" t="s">
        <v>14</v>
      </c>
      <c r="C11" s="1" t="s">
        <v>16</v>
      </c>
      <c r="D11" s="1" t="s">
        <v>35</v>
      </c>
      <c r="E11" s="1" t="s">
        <v>17</v>
      </c>
      <c r="F11" s="1" t="s">
        <v>35</v>
      </c>
    </row>
    <row r="12" spans="1:6" x14ac:dyDescent="0.35">
      <c r="A12" s="1" t="s">
        <v>52</v>
      </c>
      <c r="B12" s="1" t="s">
        <v>36</v>
      </c>
      <c r="C12" s="1" t="s">
        <v>16</v>
      </c>
      <c r="D12" s="1" t="s">
        <v>21</v>
      </c>
      <c r="E12" s="1" t="s">
        <v>16</v>
      </c>
      <c r="F12" s="1" t="s">
        <v>21</v>
      </c>
    </row>
    <row r="13" spans="1:6" x14ac:dyDescent="0.35">
      <c r="A13" s="1" t="s">
        <v>53</v>
      </c>
      <c r="B13" s="1" t="s">
        <v>37</v>
      </c>
      <c r="C13" s="1" t="s">
        <v>16</v>
      </c>
      <c r="D13" s="1" t="s">
        <v>21</v>
      </c>
      <c r="E13" s="1" t="s">
        <v>16</v>
      </c>
      <c r="F13" s="1" t="s">
        <v>21</v>
      </c>
    </row>
    <row r="14" spans="1:6" x14ac:dyDescent="0.35">
      <c r="A14" s="1" t="s">
        <v>54</v>
      </c>
      <c r="B14" s="1" t="s">
        <v>36</v>
      </c>
      <c r="C14" s="1" t="s">
        <v>16</v>
      </c>
      <c r="D14" s="1" t="s">
        <v>21</v>
      </c>
      <c r="E14" s="1" t="s">
        <v>16</v>
      </c>
      <c r="F14" s="1" t="s">
        <v>21</v>
      </c>
    </row>
    <row r="15" spans="1:6" x14ac:dyDescent="0.35">
      <c r="A15" s="1" t="s">
        <v>55</v>
      </c>
      <c r="B15" s="1" t="s">
        <v>37</v>
      </c>
      <c r="C15" s="1" t="s">
        <v>16</v>
      </c>
      <c r="D15" s="1" t="s">
        <v>21</v>
      </c>
      <c r="E15" s="1" t="s">
        <v>16</v>
      </c>
      <c r="F15" s="1" t="s">
        <v>21</v>
      </c>
    </row>
  </sheetData>
  <mergeCells count="3">
    <mergeCell ref="C1:D1"/>
    <mergeCell ref="E1:F1"/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2571-6D28-4BDB-8D0B-01D462FD80A4}">
  <dimension ref="A1:K15"/>
  <sheetViews>
    <sheetView zoomScale="190" zoomScaleNormal="190" workbookViewId="0">
      <selection activeCell="G3" sqref="G3"/>
    </sheetView>
  </sheetViews>
  <sheetFormatPr defaultColWidth="8.7265625" defaultRowHeight="14.5" x14ac:dyDescent="0.35"/>
  <cols>
    <col min="1" max="1" width="6.7265625" bestFit="1" customWidth="1"/>
    <col min="2" max="2" width="16.453125" bestFit="1" customWidth="1"/>
    <col min="3" max="3" width="16" customWidth="1"/>
    <col min="4" max="4" width="7.90625" bestFit="1" customWidth="1"/>
    <col min="5" max="5" width="13.6328125" customWidth="1"/>
    <col min="6" max="6" width="7.90625" bestFit="1" customWidth="1"/>
    <col min="7" max="8" width="13.6328125" customWidth="1"/>
    <col min="9" max="9" width="7.90625" bestFit="1" customWidth="1"/>
    <col min="10" max="11" width="14.54296875" customWidth="1"/>
  </cols>
  <sheetData>
    <row r="1" spans="1:11" x14ac:dyDescent="0.35">
      <c r="A1" s="12" t="s">
        <v>6</v>
      </c>
      <c r="B1" s="12"/>
      <c r="C1" s="12" t="s">
        <v>6</v>
      </c>
      <c r="D1" s="12"/>
      <c r="E1" s="12"/>
      <c r="F1" s="2"/>
      <c r="G1" s="12" t="s">
        <v>9</v>
      </c>
      <c r="H1" s="12"/>
      <c r="I1" s="2"/>
      <c r="J1" s="12" t="s">
        <v>10</v>
      </c>
      <c r="K1" s="12"/>
    </row>
    <row r="2" spans="1:11" x14ac:dyDescent="0.35">
      <c r="A2" s="4" t="s">
        <v>7</v>
      </c>
      <c r="B2" s="4" t="s">
        <v>8</v>
      </c>
      <c r="C2" s="2" t="s">
        <v>0</v>
      </c>
      <c r="D2" s="2" t="s">
        <v>20</v>
      </c>
      <c r="E2" s="2" t="s">
        <v>1</v>
      </c>
      <c r="F2" s="2" t="s">
        <v>20</v>
      </c>
      <c r="G2" s="2" t="s">
        <v>5</v>
      </c>
      <c r="H2" s="2" t="s">
        <v>2</v>
      </c>
      <c r="I2" s="2" t="s">
        <v>20</v>
      </c>
      <c r="J2" s="2" t="s">
        <v>5</v>
      </c>
      <c r="K2" s="2" t="s">
        <v>2</v>
      </c>
    </row>
    <row r="3" spans="1:11" x14ac:dyDescent="0.35">
      <c r="A3" s="1">
        <v>1</v>
      </c>
      <c r="B3" s="1">
        <v>1</v>
      </c>
      <c r="C3" s="1" t="s">
        <v>43</v>
      </c>
      <c r="D3" s="1">
        <f>$B3</f>
        <v>1</v>
      </c>
      <c r="E3" s="1" t="s">
        <v>22</v>
      </c>
      <c r="F3" s="1">
        <f>$B3</f>
        <v>1</v>
      </c>
      <c r="G3" s="1" t="s">
        <v>19</v>
      </c>
      <c r="H3" s="1" t="s">
        <v>21</v>
      </c>
      <c r="I3" s="1">
        <f>$B3</f>
        <v>1</v>
      </c>
      <c r="J3" s="1" t="s">
        <v>19</v>
      </c>
      <c r="K3" s="1" t="s">
        <v>21</v>
      </c>
    </row>
    <row r="4" spans="1:11" x14ac:dyDescent="0.35">
      <c r="A4" s="1">
        <v>1</v>
      </c>
      <c r="B4" s="1">
        <v>2</v>
      </c>
      <c r="C4" s="1" t="s">
        <v>44</v>
      </c>
      <c r="D4" s="1">
        <f t="shared" ref="D4:D5" si="0">$B4</f>
        <v>2</v>
      </c>
      <c r="E4" s="1" t="s">
        <v>14</v>
      </c>
      <c r="F4" s="1">
        <f>$B4</f>
        <v>2</v>
      </c>
      <c r="G4" s="1" t="s">
        <v>19</v>
      </c>
      <c r="H4" s="1" t="s">
        <v>21</v>
      </c>
      <c r="I4" s="1">
        <f t="shared" ref="I4:I15" si="1">$B4</f>
        <v>2</v>
      </c>
      <c r="J4" s="1" t="s">
        <v>19</v>
      </c>
      <c r="K4" s="1" t="s">
        <v>21</v>
      </c>
    </row>
    <row r="5" spans="1:11" x14ac:dyDescent="0.35">
      <c r="A5" s="1">
        <v>1</v>
      </c>
      <c r="B5" s="1">
        <v>3</v>
      </c>
      <c r="C5" s="1" t="s">
        <v>45</v>
      </c>
      <c r="D5" s="1">
        <f t="shared" si="0"/>
        <v>3</v>
      </c>
      <c r="E5" s="1" t="s">
        <v>14</v>
      </c>
      <c r="F5" s="1">
        <f>$B5</f>
        <v>3</v>
      </c>
      <c r="G5" s="1" t="s">
        <v>19</v>
      </c>
      <c r="H5" s="1" t="s">
        <v>21</v>
      </c>
      <c r="I5" s="1">
        <f t="shared" si="1"/>
        <v>3</v>
      </c>
      <c r="J5" s="1" t="s">
        <v>19</v>
      </c>
      <c r="K5" s="1" t="s">
        <v>21</v>
      </c>
    </row>
    <row r="6" spans="1:11" x14ac:dyDescent="0.35">
      <c r="A6" s="1">
        <v>1</v>
      </c>
      <c r="B6" s="1">
        <v>4</v>
      </c>
      <c r="C6" s="1" t="s">
        <v>46</v>
      </c>
      <c r="D6" s="1">
        <f>$B6</f>
        <v>4</v>
      </c>
      <c r="E6" s="1" t="s">
        <v>15</v>
      </c>
      <c r="F6" s="1">
        <f t="shared" ref="F6:F15" si="2">$B6</f>
        <v>4</v>
      </c>
      <c r="G6" s="1" t="s">
        <v>16</v>
      </c>
      <c r="H6" s="1" t="s">
        <v>35</v>
      </c>
      <c r="I6" s="1">
        <f t="shared" si="1"/>
        <v>4</v>
      </c>
      <c r="J6" s="1" t="s">
        <v>16</v>
      </c>
      <c r="K6" s="1" t="s">
        <v>35</v>
      </c>
    </row>
    <row r="7" spans="1:11" x14ac:dyDescent="0.35">
      <c r="A7" s="1">
        <v>1</v>
      </c>
      <c r="B7" s="1">
        <v>5</v>
      </c>
      <c r="C7" s="1" t="s">
        <v>47</v>
      </c>
      <c r="D7" s="1">
        <f>$B7</f>
        <v>5</v>
      </c>
      <c r="E7" s="1" t="s">
        <v>14</v>
      </c>
      <c r="F7" s="1">
        <f t="shared" si="2"/>
        <v>5</v>
      </c>
      <c r="G7" s="1" t="s">
        <v>17</v>
      </c>
      <c r="H7" s="1" t="s">
        <v>35</v>
      </c>
      <c r="I7" s="1">
        <f t="shared" si="1"/>
        <v>5</v>
      </c>
      <c r="J7" s="1" t="s">
        <v>17</v>
      </c>
      <c r="K7" s="1" t="s">
        <v>35</v>
      </c>
    </row>
    <row r="8" spans="1:11" x14ac:dyDescent="0.35">
      <c r="A8" s="1">
        <v>1</v>
      </c>
      <c r="B8" s="1">
        <v>6</v>
      </c>
      <c r="C8" s="1" t="s">
        <v>48</v>
      </c>
      <c r="D8" s="1">
        <f t="shared" ref="D8:D15" si="3">$B8</f>
        <v>6</v>
      </c>
      <c r="E8" s="1" t="s">
        <v>15</v>
      </c>
      <c r="F8" s="1">
        <f t="shared" si="2"/>
        <v>6</v>
      </c>
      <c r="G8" s="1" t="s">
        <v>16</v>
      </c>
      <c r="H8" s="1" t="s">
        <v>35</v>
      </c>
      <c r="I8" s="1">
        <f t="shared" si="1"/>
        <v>6</v>
      </c>
      <c r="J8" s="1" t="s">
        <v>16</v>
      </c>
      <c r="K8" s="1" t="s">
        <v>35</v>
      </c>
    </row>
    <row r="9" spans="1:11" x14ac:dyDescent="0.35">
      <c r="A9" s="1">
        <v>11</v>
      </c>
      <c r="B9" s="1">
        <v>7</v>
      </c>
      <c r="C9" s="1" t="s">
        <v>49</v>
      </c>
      <c r="D9" s="1">
        <f t="shared" si="3"/>
        <v>7</v>
      </c>
      <c r="E9" s="1" t="s">
        <v>14</v>
      </c>
      <c r="F9" s="1">
        <f t="shared" si="2"/>
        <v>7</v>
      </c>
      <c r="G9" s="1" t="s">
        <v>16</v>
      </c>
      <c r="H9" s="1" t="s">
        <v>35</v>
      </c>
      <c r="I9" s="1">
        <f t="shared" si="1"/>
        <v>7</v>
      </c>
      <c r="J9" s="1" t="s">
        <v>17</v>
      </c>
      <c r="K9" s="1" t="s">
        <v>35</v>
      </c>
    </row>
    <row r="10" spans="1:11" x14ac:dyDescent="0.35">
      <c r="A10" s="1">
        <v>1</v>
      </c>
      <c r="B10" s="1">
        <v>8</v>
      </c>
      <c r="C10" s="1" t="s">
        <v>50</v>
      </c>
      <c r="D10" s="1">
        <f t="shared" si="3"/>
        <v>8</v>
      </c>
      <c r="E10" s="1" t="s">
        <v>15</v>
      </c>
      <c r="F10" s="1">
        <f t="shared" si="2"/>
        <v>8</v>
      </c>
      <c r="G10" s="1" t="s">
        <v>17</v>
      </c>
      <c r="H10" s="1" t="s">
        <v>35</v>
      </c>
      <c r="I10" s="1">
        <f t="shared" si="1"/>
        <v>8</v>
      </c>
      <c r="J10" s="1" t="s">
        <v>16</v>
      </c>
      <c r="K10" s="1" t="s">
        <v>35</v>
      </c>
    </row>
    <row r="11" spans="1:11" x14ac:dyDescent="0.35">
      <c r="A11" s="1">
        <v>1</v>
      </c>
      <c r="B11" s="1">
        <v>9</v>
      </c>
      <c r="C11" s="1" t="s">
        <v>51</v>
      </c>
      <c r="D11" s="1">
        <f t="shared" si="3"/>
        <v>9</v>
      </c>
      <c r="E11" s="1" t="s">
        <v>14</v>
      </c>
      <c r="F11" s="1">
        <f t="shared" si="2"/>
        <v>9</v>
      </c>
      <c r="G11" s="1" t="s">
        <v>16</v>
      </c>
      <c r="H11" s="1" t="s">
        <v>35</v>
      </c>
      <c r="I11" s="1">
        <f t="shared" si="1"/>
        <v>9</v>
      </c>
      <c r="J11" s="1" t="s">
        <v>17</v>
      </c>
      <c r="K11" s="1" t="s">
        <v>35</v>
      </c>
    </row>
    <row r="12" spans="1:11" x14ac:dyDescent="0.35">
      <c r="A12" s="1">
        <v>1</v>
      </c>
      <c r="B12" s="1">
        <v>10</v>
      </c>
      <c r="C12" s="1" t="s">
        <v>52</v>
      </c>
      <c r="D12" s="1">
        <f t="shared" si="3"/>
        <v>10</v>
      </c>
      <c r="E12" s="1" t="s">
        <v>36</v>
      </c>
      <c r="F12" s="1">
        <f t="shared" si="2"/>
        <v>10</v>
      </c>
      <c r="G12" s="1" t="s">
        <v>16</v>
      </c>
      <c r="H12" s="1" t="s">
        <v>21</v>
      </c>
      <c r="I12" s="1">
        <f t="shared" si="1"/>
        <v>10</v>
      </c>
      <c r="J12" s="1" t="s">
        <v>16</v>
      </c>
      <c r="K12" s="1" t="s">
        <v>21</v>
      </c>
    </row>
    <row r="13" spans="1:11" x14ac:dyDescent="0.35">
      <c r="A13" s="1">
        <v>1</v>
      </c>
      <c r="B13" s="1">
        <v>11</v>
      </c>
      <c r="C13" s="1" t="s">
        <v>53</v>
      </c>
      <c r="D13" s="1">
        <f t="shared" si="3"/>
        <v>11</v>
      </c>
      <c r="E13" s="1" t="s">
        <v>37</v>
      </c>
      <c r="F13" s="1">
        <f t="shared" si="2"/>
        <v>11</v>
      </c>
      <c r="G13" s="1" t="s">
        <v>16</v>
      </c>
      <c r="H13" s="1" t="s">
        <v>21</v>
      </c>
      <c r="I13" s="1">
        <f t="shared" si="1"/>
        <v>11</v>
      </c>
      <c r="J13" s="1" t="s">
        <v>16</v>
      </c>
      <c r="K13" s="1" t="s">
        <v>21</v>
      </c>
    </row>
    <row r="14" spans="1:11" x14ac:dyDescent="0.35">
      <c r="A14" s="1">
        <v>1</v>
      </c>
      <c r="B14" s="1">
        <v>12</v>
      </c>
      <c r="C14" s="1" t="s">
        <v>54</v>
      </c>
      <c r="D14" s="1">
        <f t="shared" si="3"/>
        <v>12</v>
      </c>
      <c r="E14" s="1" t="s">
        <v>36</v>
      </c>
      <c r="F14" s="1">
        <f t="shared" si="2"/>
        <v>12</v>
      </c>
      <c r="G14" s="1" t="s">
        <v>16</v>
      </c>
      <c r="H14" s="1" t="s">
        <v>21</v>
      </c>
      <c r="I14" s="1">
        <f t="shared" si="1"/>
        <v>12</v>
      </c>
      <c r="J14" s="1" t="s">
        <v>16</v>
      </c>
      <c r="K14" s="1" t="s">
        <v>21</v>
      </c>
    </row>
    <row r="15" spans="1:11" x14ac:dyDescent="0.35">
      <c r="A15" s="1">
        <v>1</v>
      </c>
      <c r="B15" s="1">
        <v>13</v>
      </c>
      <c r="C15" s="1" t="s">
        <v>55</v>
      </c>
      <c r="D15" s="1">
        <f t="shared" si="3"/>
        <v>13</v>
      </c>
      <c r="E15" s="1" t="s">
        <v>37</v>
      </c>
      <c r="F15" s="1">
        <f t="shared" si="2"/>
        <v>13</v>
      </c>
      <c r="G15" s="1" t="s">
        <v>16</v>
      </c>
      <c r="H15" s="1" t="s">
        <v>21</v>
      </c>
      <c r="I15" s="1">
        <f t="shared" si="1"/>
        <v>13</v>
      </c>
      <c r="J15" s="1" t="s">
        <v>16</v>
      </c>
      <c r="K15" s="1" t="s">
        <v>21</v>
      </c>
    </row>
  </sheetData>
  <autoFilter ref="A2:K2" xr:uid="{E7542571-6D28-4BDB-8D0B-01D462FD80A4}"/>
  <mergeCells count="4">
    <mergeCell ref="C1:E1"/>
    <mergeCell ref="G1:H1"/>
    <mergeCell ref="J1:K1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40C3-EAD5-42A5-AC93-0AAB66F96F91}">
  <dimension ref="A1:O5"/>
  <sheetViews>
    <sheetView zoomScale="205" zoomScaleNormal="205" workbookViewId="0">
      <selection activeCell="B8" sqref="B8"/>
    </sheetView>
  </sheetViews>
  <sheetFormatPr defaultColWidth="8.7265625" defaultRowHeight="14.5" x14ac:dyDescent="0.35"/>
  <cols>
    <col min="1" max="1" width="5.81640625" bestFit="1" customWidth="1"/>
    <col min="2" max="10" width="13.6328125" style="8" customWidth="1"/>
    <col min="11" max="12" width="13.6328125" style="1" customWidth="1"/>
  </cols>
  <sheetData>
    <row r="1" spans="1:15" ht="14.5" customHeight="1" x14ac:dyDescent="0.35">
      <c r="B1" s="13" t="s">
        <v>40</v>
      </c>
      <c r="C1" s="13"/>
      <c r="D1" s="13"/>
      <c r="E1" s="13"/>
      <c r="F1" s="13"/>
      <c r="G1" s="13"/>
      <c r="H1" s="13"/>
      <c r="I1" s="13"/>
      <c r="J1" s="13"/>
      <c r="K1" s="10"/>
      <c r="L1" s="10"/>
    </row>
    <row r="2" spans="1:15" ht="58" x14ac:dyDescent="0.35">
      <c r="A2" s="11" t="s">
        <v>60</v>
      </c>
      <c r="B2" s="6" t="s">
        <v>5</v>
      </c>
      <c r="C2" s="6" t="s">
        <v>18</v>
      </c>
      <c r="D2" s="6" t="s">
        <v>18</v>
      </c>
      <c r="E2" s="6" t="s">
        <v>18</v>
      </c>
      <c r="F2" s="6" t="s">
        <v>38</v>
      </c>
      <c r="G2" s="6" t="s">
        <v>29</v>
      </c>
      <c r="H2" s="6" t="s">
        <v>28</v>
      </c>
      <c r="I2" s="6" t="s">
        <v>27</v>
      </c>
      <c r="J2" s="6" t="s">
        <v>30</v>
      </c>
      <c r="K2" s="5"/>
      <c r="L2" s="11" t="s">
        <v>59</v>
      </c>
      <c r="M2" s="13" t="s">
        <v>61</v>
      </c>
      <c r="N2" s="13"/>
      <c r="O2" s="13"/>
    </row>
    <row r="3" spans="1:15" x14ac:dyDescent="0.35">
      <c r="B3" s="8" t="s">
        <v>19</v>
      </c>
      <c r="C3" s="8" t="s">
        <v>31</v>
      </c>
      <c r="D3" s="8" t="s">
        <v>31</v>
      </c>
      <c r="E3" s="8" t="s">
        <v>39</v>
      </c>
      <c r="F3" s="8" t="str" cm="1">
        <f t="array" ref="F3">INDEX(_xlfn.UNIQUE($C3:$E3), MODE(MATCH(_xlfn.UNIQUE($C3:$E3), $C3:$E3, 0)))</f>
        <v>c</v>
      </c>
      <c r="G3" s="8">
        <f>_xlfn.XLOOKUP($B3, Normalised!G:G, Normalised!F:F, "")</f>
        <v>1</v>
      </c>
      <c r="H3" s="8" t="str" cm="1">
        <f t="array" ref="H3">IFERROR(_xlfn.TEXTJOIN(",", TRUE, _xlfn._xlws.SORT(VALUE(_xlfn._xlws.FILTER(Normalised!F:F, Normalised!G:G=$B3)))),"")</f>
        <v>1,2,3</v>
      </c>
      <c r="I3" s="8">
        <f>_xlfn.XLOOKUP($B3, Normalised!J:J, Normalised!I:I, "")</f>
        <v>1</v>
      </c>
      <c r="J3" s="8" t="str" cm="1">
        <f t="array" ref="J3">IFERROR(_xlfn.TEXTJOIN(",", TRUE, _xlfn._xlws.SORT(VALUE(_xlfn._xlws.FILTER(Normalised!I:I, Normalised!J:J=$B3)))), "")</f>
        <v>1,2,3</v>
      </c>
    </row>
    <row r="4" spans="1:15" ht="29" x14ac:dyDescent="0.35">
      <c r="B4" s="8" t="s">
        <v>16</v>
      </c>
      <c r="C4" s="8" t="s">
        <v>56</v>
      </c>
      <c r="D4" s="8" t="s">
        <v>56</v>
      </c>
      <c r="E4" s="8" t="s">
        <v>56</v>
      </c>
      <c r="F4" s="8" t="str" cm="1">
        <f t="array" ref="F4">INDEX(_xlfn.UNIQUE($C4:$E4), MODE(MATCH(_xlfn.UNIQUE($C4:$E4), $C4:$E4, 0)))</f>
        <v>u</v>
      </c>
      <c r="G4" s="8">
        <f>_xlfn.XLOOKUP($B4, Normalised!G:G, Normalised!F:F, "")</f>
        <v>4</v>
      </c>
      <c r="H4" s="8" t="str" cm="1">
        <f t="array" ref="H4">IFERROR(_xlfn.TEXTJOIN(",", TRUE, _xlfn._xlws.SORT(VALUE(_xlfn._xlws.FILTER(Normalised!F:F, Normalised!G:G=$B4)))),"")</f>
        <v>4,6,7,9,10,11,12,13</v>
      </c>
      <c r="I4" s="8">
        <f>_xlfn.XLOOKUP($B4, Normalised!J:J, Normalised!I:I, "")</f>
        <v>4</v>
      </c>
      <c r="J4" s="8" t="str" cm="1">
        <f t="array" ref="J4">IFERROR(_xlfn.TEXTJOIN(",", TRUE, _xlfn._xlws.SORT(VALUE(_xlfn._xlws.FILTER(Normalised!I:I, Normalised!J:J=$B4)))), "")</f>
        <v>4,6,8,10,11,12,13</v>
      </c>
    </row>
    <row r="5" spans="1:15" x14ac:dyDescent="0.35">
      <c r="B5" s="8" t="s">
        <v>17</v>
      </c>
      <c r="C5" s="8" t="s">
        <v>56</v>
      </c>
      <c r="D5" s="8" t="s">
        <v>56</v>
      </c>
      <c r="E5" s="8" t="s">
        <v>56</v>
      </c>
      <c r="F5" s="8" t="str" cm="1">
        <f t="array" ref="F5">INDEX(_xlfn.UNIQUE($C5:$E5), MODE(MATCH(_xlfn.UNIQUE($C5:$E5), $C5:$E5, 0)))</f>
        <v>u</v>
      </c>
      <c r="G5" s="8">
        <f>_xlfn.XLOOKUP($B5, Normalised!G:G, Normalised!F:F, "")</f>
        <v>5</v>
      </c>
      <c r="H5" s="8" t="str" cm="1">
        <f t="array" ref="H5">IFERROR(_xlfn.TEXTJOIN(",", TRUE, _xlfn._xlws.SORT(VALUE(_xlfn._xlws.FILTER(Normalised!F:F, Normalised!G:G=$B5)))),"")</f>
        <v>5,8</v>
      </c>
      <c r="I5" s="8">
        <f>_xlfn.XLOOKUP($B5, Normalised!J:J, Normalised!I:I, "")</f>
        <v>5</v>
      </c>
      <c r="J5" s="8" t="str" cm="1">
        <f t="array" ref="J5">IFERROR(_xlfn.TEXTJOIN(",", TRUE, _xlfn._xlws.SORT(VALUE(_xlfn._xlws.FILTER(Normalised!I:I, Normalised!J:J=$B5)))), "")</f>
        <v>5,7,9</v>
      </c>
    </row>
  </sheetData>
  <autoFilter ref="B2:J2" xr:uid="{8ED640C3-EAD5-42A5-AC93-0AAB66F96F91}"/>
  <mergeCells count="2">
    <mergeCell ref="B1:J1"/>
    <mergeCell ref="M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A5EB-F07D-4482-9CDC-4B1469D1A512}">
  <dimension ref="A1:R23"/>
  <sheetViews>
    <sheetView topLeftCell="D1" zoomScale="190" zoomScaleNormal="190" workbookViewId="0">
      <selection activeCell="D2" sqref="D2"/>
    </sheetView>
  </sheetViews>
  <sheetFormatPr defaultColWidth="8.7265625" defaultRowHeight="14.5" x14ac:dyDescent="0.35"/>
  <cols>
    <col min="1" max="10" width="14.6328125" style="3" customWidth="1"/>
  </cols>
  <sheetData>
    <row r="1" spans="1:18" ht="72.5" x14ac:dyDescent="0.35">
      <c r="A1" s="6" t="s">
        <v>12</v>
      </c>
      <c r="B1" s="6" t="s">
        <v>13</v>
      </c>
      <c r="C1" s="6" t="s">
        <v>57</v>
      </c>
      <c r="D1" s="6" t="s">
        <v>57</v>
      </c>
      <c r="E1" s="6" t="s">
        <v>57</v>
      </c>
      <c r="F1" s="6" t="s">
        <v>41</v>
      </c>
      <c r="G1" s="6" t="s">
        <v>29</v>
      </c>
      <c r="H1" s="6" t="s">
        <v>32</v>
      </c>
      <c r="I1" s="6" t="s">
        <v>33</v>
      </c>
      <c r="J1" s="6" t="s">
        <v>34</v>
      </c>
      <c r="L1" s="13" t="s">
        <v>42</v>
      </c>
      <c r="M1" s="13"/>
      <c r="N1" s="13"/>
      <c r="O1" s="13"/>
      <c r="P1" s="13"/>
      <c r="Q1" s="13"/>
      <c r="R1" s="13"/>
    </row>
    <row r="2" spans="1:18" x14ac:dyDescent="0.35">
      <c r="A2" s="8" t="s">
        <v>21</v>
      </c>
      <c r="B2" s="8" t="s">
        <v>35</v>
      </c>
      <c r="C2" s="8">
        <v>0</v>
      </c>
      <c r="D2" s="8">
        <v>0</v>
      </c>
      <c r="E2" s="8">
        <v>0</v>
      </c>
      <c r="F2" s="8">
        <f>IF(SUM($C2:$E2)&gt;=2,1,0)</f>
        <v>0</v>
      </c>
      <c r="G2" s="8" t="str" cm="1">
        <f t="array" ref="G2">IF($F2&lt;&gt;1, "",
   _xlfn.LET(
     _xlpm.a, _xlfn._xlws.SORT(_xlfn.UNIQUE(--_xlfn._xlws.FILTER(Normalised!F:F, Normalised!H:H=$B2))),
     _xlpm.b, _xlfn._xlws.SORT(_xlfn.UNIQUE(--_xlfn._xlws.FILTER(Normalised!F:F, Normalised!H:H=$A2))),
     _xlpm.combos,
       _xlfn.MAKEARRAY(ROWS(_xlpm.a)*ROWS(_xlpm.b), 1,
         _xlfn.LAMBDA(_xlpm.r,_xlpm.c,
           _xlfn.LET(
             _xlpm.x, INDEX(_xlpm.a, 1+MOD(_xlpm.r-1, ROWS(_xlpm.a))),
             _xlpm.y, INDEX(_xlpm.b, 1+INT((_xlpm.r-1)/ROWS(_xlpm.a))),
             IF(_xlpm.x=_xlpm.y, "", _xlpm.x &amp; "--" &amp; _xlpm.y)
           )
         )
       ),
     _xlpm.cleaned, _xlfn._xlws.SORT(_xlfn._xlws.FILTER(_xlpm.combos, _xlpm.combos&lt;&gt;"")),
     IF(COUNTA(_xlpm.cleaned)=0, "", INDEX(_xlpm.cleaned,1))
   )
)</f>
        <v/>
      </c>
      <c r="H2" s="8" t="str" cm="1">
        <f t="array" ref="H2">IF($F2&lt;&gt;1, "",
   _xlfn.LET(
     _xlpm.a, _xlfn._xlws.SORT(_xlfn.UNIQUE(--_xlfn._xlws.FILTER(Normalised!F:F, Normalised!H:H=$A2))),
     _xlpm.b, _xlfn._xlws.SORT(_xlfn.UNIQUE(--_xlfn._xlws.FILTER(Normalised!F:F, Normalised!H:H=$B2))),
     IF(OR(COUNTA(_xlpm.a)=0, COUNTA(_xlpm.b)=0), "",
        _xlfn.TEXTJOIN(", ", TRUE,
          _xlfn._xlws.SORT(
            _xlfn.MAKEARRAY(ROWS(_xlpm.a)*ROWS(_xlpm.b), 1,
              _xlfn.LAMBDA(_xlpm.r,_xlpm.c,
                _xlfn.LET(
                  _xlpm.x, INDEX(_xlpm.a, 1+MOD(_xlpm.r-1, ROWS(_xlpm.a))),
                  _xlpm.y, INDEX(_xlpm.b, 1+INT((_xlpm.r-1)/ROWS(_xlpm.a))),
                  IF(OR(_xlpm.x=_xlpm.y, _xlpm.x&gt;_xlpm.y), "", _xlpm.x &amp; "--" &amp; _xlpm.y)
                )
              )
            )
          )
        )
     )
   )
)</f>
        <v/>
      </c>
      <c r="I2" s="8" t="str" cm="1">
        <f t="array" ref="I2">IF($F2&lt;&gt;1, "",
   _xlfn.LET(
     _xlpm.a, _xlfn._xlws.SORT(_xlfn.UNIQUE(--_xlfn._xlws.FILTER(Normalised!I:I, Normalised!K:K=$B2))),
     _xlpm.b, _xlfn._xlws.SORT(_xlfn.UNIQUE(--_xlfn._xlws.FILTER(Normalised!I:I, Normalised!K:K=$A2))),
     _xlpm.combos,
       _xlfn.MAKEARRAY(ROWS(_xlpm.a)*ROWS(_xlpm.b), 1,
         _xlfn.LAMBDA(_xlpm.r,_xlpm.c,
           _xlfn.LET(
             _xlpm.x, INDEX(_xlpm.a, 1+MOD(_xlpm.r-1, ROWS(_xlpm.a))),
             _xlpm.y, INDEX(_xlpm.b, 1+INT((_xlpm.r-1)/ROWS(_xlpm.a))),
             IF(_xlpm.x=_xlpm.y, "", _xlpm.x &amp; "--" &amp; _xlpm.y)
           )
         )
       ),
     _xlpm.cleaned, _xlfn._xlws.SORT(_xlfn._xlws.FILTER(_xlpm.combos, _xlpm.combos&lt;&gt;"")),
     IF(COUNTA(_xlpm.cleaned)=0, "", INDEX(_xlpm.cleaned,1))
   )
)</f>
        <v/>
      </c>
      <c r="J2" s="8" t="str" cm="1">
        <f t="array" ref="J2">IF($F2&lt;&gt;1, "",
   _xlfn.LET(
     _xlpm.a, _xlfn._xlws.SORT(_xlfn.UNIQUE(--_xlfn._xlws.FILTER(Normalised!I:I, Normalised!K:K=$A2))),
     _xlpm.b, _xlfn._xlws.SORT(_xlfn.UNIQUE(--_xlfn._xlws.FILTER(Normalised!I:I, Normalised!K:K=$B2))),
     IF(OR(COUNTA(_xlpm.a)=0, COUNTA(_xlpm.b)=0), "",
        _xlfn.TEXTJOIN(", ", TRUE,
          _xlfn._xlws.SORT(
            _xlfn.MAKEARRAY(ROWS(_xlpm.a)*ROWS(_xlpm.b), 1,
              _xlfn.LAMBDA(_xlpm.r,_xlpm.c,
                _xlfn.LET(
                  _xlpm.x, INDEX(_xlpm.a, 1+MOD(_xlpm.r-1, ROWS(_xlpm.a))),
                  _xlpm.y, INDEX(_xlpm.b, 1+INT((_xlpm.r-1)/ROWS(_xlpm.a))),
                  IF(OR(_xlpm.x=_xlpm.y, _xlpm.x&gt;_xlpm.y), "", _xlpm.x &amp; "--" &amp; _xlpm.y)
                )
              )
            )
          )
        )
     )
   )
)</f>
        <v/>
      </c>
    </row>
    <row r="3" spans="1:18" x14ac:dyDescent="0.35">
      <c r="A3" s="8" t="s">
        <v>35</v>
      </c>
      <c r="B3" s="8" t="s">
        <v>21</v>
      </c>
      <c r="C3" s="8">
        <v>0</v>
      </c>
      <c r="D3" s="8">
        <v>0</v>
      </c>
      <c r="E3" s="8">
        <v>0</v>
      </c>
      <c r="F3" s="8">
        <f>IF(SUM($C3:$E3)&gt;=2,1,0)</f>
        <v>0</v>
      </c>
      <c r="G3" s="8" t="str" cm="1">
        <f t="array" ref="G3">IF($F3&lt;&gt;1, "",
   _xlfn.LET(
     _xlpm.a, _xlfn._xlws.SORT(_xlfn.UNIQUE(--_xlfn._xlws.FILTER(Normalised!F:F, Normalised!H:H=$B3))),
     _xlpm.b, _xlfn._xlws.SORT(_xlfn.UNIQUE(--_xlfn._xlws.FILTER(Normalised!F:F, Normalised!H:H=$A3))),
     _xlpm.combos,
       _xlfn.MAKEARRAY(ROWS(_xlpm.a)*ROWS(_xlpm.b), 1,
         _xlfn.LAMBDA(_xlpm.r,_xlpm.c,
           _xlfn.LET(
             _xlpm.x, INDEX(_xlpm.a, 1+MOD(_xlpm.r-1, ROWS(_xlpm.a))),
             _xlpm.y, INDEX(_xlpm.b, 1+INT((_xlpm.r-1)/ROWS(_xlpm.a))),
             IF(_xlpm.x=_xlpm.y, "", _xlpm.x &amp; "--" &amp; _xlpm.y)
           )
         )
       ),
     _xlpm.cleaned, _xlfn._xlws.SORT(_xlfn._xlws.FILTER(_xlpm.combos, _xlpm.combos&lt;&gt;"")),
     IF(COUNTA(_xlpm.cleaned)=0, "", INDEX(_xlpm.cleaned,1))
   )
)</f>
        <v/>
      </c>
      <c r="H3" s="8" t="str" cm="1">
        <f t="array" ref="H3">IF($F3&lt;&gt;1, "",
   _xlfn.LET(
     _xlpm.a, _xlfn._xlws.SORT(_xlfn.UNIQUE(--_xlfn._xlws.FILTER(Normalised!F:F, Normalised!H:H=$A3))),
     _xlpm.b, _xlfn._xlws.SORT(_xlfn.UNIQUE(--_xlfn._xlws.FILTER(Normalised!F:F, Normalised!H:H=$B3))),
     IF(OR(COUNTA(_xlpm.a)=0, COUNTA(_xlpm.b)=0), "",
        _xlfn.TEXTJOIN(", ", TRUE,
          _xlfn._xlws.SORT(
            _xlfn.MAKEARRAY(ROWS(_xlpm.a)*ROWS(_xlpm.b), 1,
              _xlfn.LAMBDA(_xlpm.r,_xlpm.c,
                _xlfn.LET(
                  _xlpm.x, INDEX(_xlpm.a, 1+MOD(_xlpm.r-1, ROWS(_xlpm.a))),
                  _xlpm.y, INDEX(_xlpm.b, 1+INT((_xlpm.r-1)/ROWS(_xlpm.a))),
                  IF(OR(_xlpm.x=_xlpm.y, _xlpm.x&gt;_xlpm.y), "", _xlpm.x &amp; "--" &amp; _xlpm.y)
                )
              )
            )
          )
        )
     )
   )
)</f>
        <v/>
      </c>
      <c r="I3" s="8" t="str" cm="1">
        <f t="array" ref="I3">IF($F3&lt;&gt;1, "",
   _xlfn.LET(
     _xlpm.a, _xlfn._xlws.SORT(_xlfn.UNIQUE(--_xlfn._xlws.FILTER(Normalised!I:I, Normalised!K:K=$B3))),
     _xlpm.b, _xlfn._xlws.SORT(_xlfn.UNIQUE(--_xlfn._xlws.FILTER(Normalised!I:I, Normalised!K:K=$A3))),
     _xlpm.combos,
       _xlfn.MAKEARRAY(ROWS(_xlpm.a)*ROWS(_xlpm.b), 1,
         _xlfn.LAMBDA(_xlpm.r,_xlpm.c,
           _xlfn.LET(
             _xlpm.x, INDEX(_xlpm.a, 1+MOD(_xlpm.r-1, ROWS(_xlpm.a))),
             _xlpm.y, INDEX(_xlpm.b, 1+INT((_xlpm.r-1)/ROWS(_xlpm.a))),
             IF(_xlpm.x=_xlpm.y, "", _xlpm.x &amp; "--" &amp; _xlpm.y)
           )
         )
       ),
     _xlpm.cleaned, _xlfn._xlws.SORT(_xlfn._xlws.FILTER(_xlpm.combos, _xlpm.combos&lt;&gt;"")),
     IF(COUNTA(_xlpm.cleaned)=0, "", INDEX(_xlpm.cleaned,1))
   )
)</f>
        <v/>
      </c>
      <c r="J3" s="8" t="str" cm="1">
        <f t="array" ref="J3">IF($F3&lt;&gt;1, "",
   _xlfn.LET(
     _xlpm.a, _xlfn._xlws.SORT(_xlfn.UNIQUE(--_xlfn._xlws.FILTER(Normalised!I:I, Normalised!K:K=$A3))),
     _xlpm.b, _xlfn._xlws.SORT(_xlfn.UNIQUE(--_xlfn._xlws.FILTER(Normalised!I:I, Normalised!K:K=$B3))),
     IF(OR(COUNTA(_xlpm.a)=0, COUNTA(_xlpm.b)=0), "",
        _xlfn.TEXTJOIN(", ", TRUE,
          _xlfn._xlws.SORT(
            _xlfn.MAKEARRAY(ROWS(_xlpm.a)*ROWS(_xlpm.b), 1,
              _xlfn.LAMBDA(_xlpm.r,_xlpm.c,
                _xlfn.LET(
                  _xlpm.x, INDEX(_xlpm.a, 1+MOD(_xlpm.r-1, ROWS(_xlpm.a))),
                  _xlpm.y, INDEX(_xlpm.b, 1+INT((_xlpm.r-1)/ROWS(_xlpm.a))),
                  IF(OR(_xlpm.x=_xlpm.y, _xlpm.x&gt;_xlpm.y), "", _xlpm.x &amp; "--" &amp; _xlpm.y)
                )
              )
            )
          )
        )
     )
   )
)</f>
        <v/>
      </c>
    </row>
    <row r="4" spans="1:18" ht="14.5" customHeight="1" x14ac:dyDescent="0.35">
      <c r="A4" s="8" t="s">
        <v>21</v>
      </c>
      <c r="B4" s="8" t="s">
        <v>21</v>
      </c>
      <c r="C4" s="8">
        <v>1</v>
      </c>
      <c r="D4" s="8">
        <v>1</v>
      </c>
      <c r="E4" s="8">
        <v>1</v>
      </c>
      <c r="F4" s="8">
        <f t="shared" ref="F4:F5" si="0">IF(SUM($C4:$E4)&gt;=2,1,0)</f>
        <v>1</v>
      </c>
      <c r="G4" s="8" t="str" cm="1">
        <f t="array" ref="G4">IF($F4&lt;&gt;1, "",
   _xlfn.LET(
     _xlpm.a, _xlfn._xlws.SORT(_xlfn.UNIQUE(--_xlfn._xlws.FILTER(Normalised!F:F, Normalised!H:H=$B4))),
     _xlpm.b, _xlfn._xlws.SORT(_xlfn.UNIQUE(--_xlfn._xlws.FILTER(Normalised!F:F, Normalised!H:H=$A4))),
     _xlpm.combos,
       _xlfn.MAKEARRAY(ROWS(_xlpm.a)*ROWS(_xlpm.b), 1,
         _xlfn.LAMBDA(_xlpm.r,_xlpm.c,
           _xlfn.LET(
             _xlpm.x, INDEX(_xlpm.a, 1+MOD(_xlpm.r-1, ROWS(_xlpm.a))),
             _xlpm.y, INDEX(_xlpm.b, 1+INT((_xlpm.r-1)/ROWS(_xlpm.a))),
             IF(_xlpm.x=_xlpm.y, "", _xlpm.x &amp; "--" &amp; _xlpm.y)
           )
         )
       ),
     _xlpm.cleaned, _xlfn._xlws.SORT(_xlfn._xlws.FILTER(_xlpm.combos, _xlpm.combos&lt;&gt;"")),
     IF(COUNTA(_xlpm.cleaned)=0, "", INDEX(_xlpm.cleaned,1))
   )
)</f>
        <v>10--1</v>
      </c>
      <c r="H4" s="8" t="str" cm="1">
        <f t="array" ref="H4">IF($F4&lt;&gt;1, "",
   _xlfn.LET(
     _xlpm.a, _xlfn._xlws.SORT(_xlfn.UNIQUE(--_xlfn._xlws.FILTER(Normalised!F:F, Normalised!H:H=$A4))),
     _xlpm.b, _xlfn._xlws.SORT(_xlfn.UNIQUE(--_xlfn._xlws.FILTER(Normalised!F:F, Normalised!H:H=$B4))),
     IF(OR(COUNTA(_xlpm.a)=0, COUNTA(_xlpm.b)=0), "",
        _xlfn.TEXTJOIN(", ", TRUE,
          _xlfn._xlws.SORT(
            _xlfn.MAKEARRAY(ROWS(_xlpm.a)*ROWS(_xlpm.b), 1,
              _xlfn.LAMBDA(_xlpm.r,_xlpm.c,
                _xlfn.LET(
                  _xlpm.x, INDEX(_xlpm.a, 1+MOD(_xlpm.r-1, ROWS(_xlpm.a))),
                  _xlpm.y, INDEX(_xlpm.b, 1+INT((_xlpm.r-1)/ROWS(_xlpm.a))),
                  IF(OR(_xlpm.x=_xlpm.y, _xlpm.x&gt;_xlpm.y), "", _xlpm.x &amp; "--" &amp; _xlpm.y)
                )
              )
            )
          )
        )
     )
   )
)</f>
        <v>10--11, 10--12, 10--13, 1--10, 1--11, 11--12, 11--13, 1--12, 1--13, 1--2, 12--13, 1--3, 2--10, 2--11, 2--12, 2--13, 2--3, 3--10, 3--11, 3--12, 3--13</v>
      </c>
      <c r="I4" s="8" t="str" cm="1">
        <f t="array" ref="I4">IF($F4&lt;&gt;1, "",
   _xlfn.LET(
     _xlpm.a, _xlfn._xlws.SORT(_xlfn.UNIQUE(--_xlfn._xlws.FILTER(Normalised!I:I, Normalised!K:K=$B4))),
     _xlpm.b, _xlfn._xlws.SORT(_xlfn.UNIQUE(--_xlfn._xlws.FILTER(Normalised!I:I, Normalised!K:K=$A4))),
     _xlpm.combos,
       _xlfn.MAKEARRAY(ROWS(_xlpm.a)*ROWS(_xlpm.b), 1,
         _xlfn.LAMBDA(_xlpm.r,_xlpm.c,
           _xlfn.LET(
             _xlpm.x, INDEX(_xlpm.a, 1+MOD(_xlpm.r-1, ROWS(_xlpm.a))),
             _xlpm.y, INDEX(_xlpm.b, 1+INT((_xlpm.r-1)/ROWS(_xlpm.a))),
             IF(_xlpm.x=_xlpm.y, "", _xlpm.x &amp; "--" &amp; _xlpm.y)
           )
         )
       ),
     _xlpm.cleaned, _xlfn._xlws.SORT(_xlfn._xlws.FILTER(_xlpm.combos, _xlpm.combos&lt;&gt;"")),
     IF(COUNTA(_xlpm.cleaned)=0, "", INDEX(_xlpm.cleaned,1))
   )
)</f>
        <v>10--1</v>
      </c>
      <c r="J4" s="8" t="str" cm="1">
        <f t="array" ref="J4">IF($F4&lt;&gt;1, "",
   _xlfn.LET(
     _xlpm.a, _xlfn._xlws.SORT(_xlfn.UNIQUE(--_xlfn._xlws.FILTER(Normalised!I:I, Normalised!K:K=$A4))),
     _xlpm.b, _xlfn._xlws.SORT(_xlfn.UNIQUE(--_xlfn._xlws.FILTER(Normalised!I:I, Normalised!K:K=$B4))),
     IF(OR(COUNTA(_xlpm.a)=0, COUNTA(_xlpm.b)=0), "",
        _xlfn.TEXTJOIN(", ", TRUE,
          _xlfn._xlws.SORT(
            _xlfn.MAKEARRAY(ROWS(_xlpm.a)*ROWS(_xlpm.b), 1,
              _xlfn.LAMBDA(_xlpm.r,_xlpm.c,
                _xlfn.LET(
                  _xlpm.x, INDEX(_xlpm.a, 1+MOD(_xlpm.r-1, ROWS(_xlpm.a))),
                  _xlpm.y, INDEX(_xlpm.b, 1+INT((_xlpm.r-1)/ROWS(_xlpm.a))),
                  IF(OR(_xlpm.x=_xlpm.y, _xlpm.x&gt;_xlpm.y), "", _xlpm.x &amp; "--" &amp; _xlpm.y)
                )
              )
            )
          )
        )
     )
   )
)</f>
        <v>10--11, 10--12, 10--13, 1--10, 1--11, 11--12, 11--13, 1--12, 1--13, 1--2, 12--13, 1--3, 2--10, 2--11, 2--12, 2--13, 2--3, 3--10, 3--11, 3--12, 3--13</v>
      </c>
      <c r="M4" t="s">
        <v>58</v>
      </c>
    </row>
    <row r="5" spans="1:18" ht="14.5" customHeight="1" x14ac:dyDescent="0.35">
      <c r="A5" s="8" t="s">
        <v>35</v>
      </c>
      <c r="B5" s="8" t="s">
        <v>35</v>
      </c>
      <c r="C5" s="8">
        <v>1</v>
      </c>
      <c r="D5" s="8">
        <v>1</v>
      </c>
      <c r="E5" s="8">
        <v>1</v>
      </c>
      <c r="F5" s="8">
        <f t="shared" si="0"/>
        <v>1</v>
      </c>
      <c r="G5" s="8" t="str" cm="1">
        <f t="array" ref="G5">IF($F5&lt;&gt;1, "",
   _xlfn.LET(
     _xlpm.a, _xlfn._xlws.SORT(_xlfn.UNIQUE(--_xlfn._xlws.FILTER(Normalised!F:F, Normalised!H:H=$B5))),
     _xlpm.b, _xlfn._xlws.SORT(_xlfn.UNIQUE(--_xlfn._xlws.FILTER(Normalised!F:F, Normalised!H:H=$A5))),
     _xlpm.combos,
       _xlfn.MAKEARRAY(ROWS(_xlpm.a)*ROWS(_xlpm.b), 1,
         _xlfn.LAMBDA(_xlpm.r,_xlpm.c,
           _xlfn.LET(
             _xlpm.x, INDEX(_xlpm.a, 1+MOD(_xlpm.r-1, ROWS(_xlpm.a))),
             _xlpm.y, INDEX(_xlpm.b, 1+INT((_xlpm.r-1)/ROWS(_xlpm.a))),
             IF(_xlpm.x=_xlpm.y, "", _xlpm.x &amp; "--" &amp; _xlpm.y)
           )
         )
       ),
     _xlpm.cleaned, _xlfn._xlws.SORT(_xlfn._xlws.FILTER(_xlpm.combos, _xlpm.combos&lt;&gt;"")),
     IF(COUNTA(_xlpm.cleaned)=0, "", INDEX(_xlpm.cleaned,1))
   )
)</f>
        <v>4--5</v>
      </c>
      <c r="H5" s="8" t="str" cm="1">
        <f t="array" ref="H5">IF($F5&lt;&gt;1, "",
   _xlfn.LET(
     _xlpm.a, _xlfn._xlws.SORT(_xlfn.UNIQUE(--_xlfn._xlws.FILTER(Normalised!F:F, Normalised!H:H=$A5))),
     _xlpm.b, _xlfn._xlws.SORT(_xlfn.UNIQUE(--_xlfn._xlws.FILTER(Normalised!F:F, Normalised!H:H=$B5))),
     IF(OR(COUNTA(_xlpm.a)=0, COUNTA(_xlpm.b)=0), "",
        _xlfn.TEXTJOIN(", ", TRUE,
          _xlfn._xlws.SORT(
            _xlfn.MAKEARRAY(ROWS(_xlpm.a)*ROWS(_xlpm.b), 1,
              _xlfn.LAMBDA(_xlpm.r,_xlpm.c,
                _xlfn.LET(
                  _xlpm.x, INDEX(_xlpm.a, 1+MOD(_xlpm.r-1, ROWS(_xlpm.a))),
                  _xlpm.y, INDEX(_xlpm.b, 1+INT((_xlpm.r-1)/ROWS(_xlpm.a))),
                  IF(OR(_xlpm.x=_xlpm.y, _xlpm.x&gt;_xlpm.y), "", _xlpm.x &amp; "--" &amp; _xlpm.y)
                )
              )
            )
          )
        )
     )
   )
)</f>
        <v>4--5, 4--6, 4--7, 4--8, 4--9, 5--6, 5--7, 5--8, 5--9, 6--7, 6--8, 6--9, 7--8, 7--9, 8--9</v>
      </c>
      <c r="I5" s="8" t="str" cm="1">
        <f t="array" ref="I5">IF($F5&lt;&gt;1, "",
   _xlfn.LET(
     _xlpm.a, _xlfn._xlws.SORT(_xlfn.UNIQUE(--_xlfn._xlws.FILTER(Normalised!I:I, Normalised!K:K=$B5))),
     _xlpm.b, _xlfn._xlws.SORT(_xlfn.UNIQUE(--_xlfn._xlws.FILTER(Normalised!I:I, Normalised!K:K=$A5))),
     _xlpm.combos,
       _xlfn.MAKEARRAY(ROWS(_xlpm.a)*ROWS(_xlpm.b), 1,
         _xlfn.LAMBDA(_xlpm.r,_xlpm.c,
           _xlfn.LET(
             _xlpm.x, INDEX(_xlpm.a, 1+MOD(_xlpm.r-1, ROWS(_xlpm.a))),
             _xlpm.y, INDEX(_xlpm.b, 1+INT((_xlpm.r-1)/ROWS(_xlpm.a))),
             IF(_xlpm.x=_xlpm.y, "", _xlpm.x &amp; "--" &amp; _xlpm.y)
           )
         )
       ),
     _xlpm.cleaned, _xlfn._xlws.SORT(_xlfn._xlws.FILTER(_xlpm.combos, _xlpm.combos&lt;&gt;"")),
     IF(COUNTA(_xlpm.cleaned)=0, "", INDEX(_xlpm.cleaned,1))
   )
)</f>
        <v>4--5</v>
      </c>
      <c r="J5" s="8" t="str" cm="1">
        <f t="array" ref="J5">IF($F5&lt;&gt;1, "",
   _xlfn.LET(
     _xlpm.a, _xlfn._xlws.SORT(_xlfn.UNIQUE(--_xlfn._xlws.FILTER(Normalised!I:I, Normalised!K:K=$A5))),
     _xlpm.b, _xlfn._xlws.SORT(_xlfn.UNIQUE(--_xlfn._xlws.FILTER(Normalised!I:I, Normalised!K:K=$B5))),
     IF(OR(COUNTA(_xlpm.a)=0, COUNTA(_xlpm.b)=0), "",
        _xlfn.TEXTJOIN(", ", TRUE,
          _xlfn._xlws.SORT(
            _xlfn.MAKEARRAY(ROWS(_xlpm.a)*ROWS(_xlpm.b), 1,
              _xlfn.LAMBDA(_xlpm.r,_xlpm.c,
                _xlfn.LET(
                  _xlpm.x, INDEX(_xlpm.a, 1+MOD(_xlpm.r-1, ROWS(_xlpm.a))),
                  _xlpm.y, INDEX(_xlpm.b, 1+INT((_xlpm.r-1)/ROWS(_xlpm.a))),
                  IF(OR(_xlpm.x=_xlpm.y, _xlpm.x&gt;_xlpm.y), "", _xlpm.x &amp; "--" &amp; _xlpm.y)
                )
              )
            )
          )
        )
     )
   )
)</f>
        <v>4--5, 4--6, 4--7, 4--8, 4--9, 5--6, 5--7, 5--8, 5--9, 6--7, 6--8, 6--9, 7--8, 7--9, 8--9</v>
      </c>
    </row>
    <row r="8" spans="1:18" ht="14.5" customHeight="1" x14ac:dyDescent="0.35">
      <c r="E8" s="9"/>
      <c r="F8" s="9"/>
      <c r="G8" s="9"/>
      <c r="H8" s="9"/>
      <c r="I8" s="9"/>
      <c r="J8" s="9"/>
      <c r="K8" s="7"/>
      <c r="L8" s="7"/>
      <c r="M8" s="7"/>
      <c r="N8" s="7"/>
      <c r="O8" s="7"/>
      <c r="P8" s="7"/>
    </row>
    <row r="9" spans="1:18" ht="14.5" customHeight="1" x14ac:dyDescent="0.35">
      <c r="E9" s="9"/>
      <c r="F9" s="9"/>
      <c r="G9" s="9"/>
      <c r="H9" s="9"/>
      <c r="I9" s="9"/>
      <c r="J9" s="9"/>
      <c r="K9" s="7"/>
      <c r="L9" s="7"/>
      <c r="M9" s="7"/>
      <c r="N9" s="7"/>
      <c r="O9" s="7"/>
      <c r="P9" s="7"/>
    </row>
    <row r="10" spans="1:18" ht="14.5" customHeight="1" x14ac:dyDescent="0.35">
      <c r="E10" s="9"/>
      <c r="F10" s="9"/>
      <c r="G10" s="9"/>
      <c r="H10" s="9"/>
      <c r="I10" s="9"/>
      <c r="J10" s="9"/>
      <c r="K10" s="7"/>
      <c r="L10" s="7"/>
      <c r="M10" s="7"/>
      <c r="N10" s="7"/>
      <c r="O10" s="7"/>
      <c r="P10" s="7"/>
    </row>
    <row r="11" spans="1:18" ht="14.5" customHeight="1" x14ac:dyDescent="0.35">
      <c r="E11" s="9"/>
      <c r="F11" s="9"/>
      <c r="G11" s="9"/>
      <c r="H11" s="9"/>
      <c r="I11" s="9"/>
      <c r="J11" s="9"/>
      <c r="K11" s="7"/>
      <c r="L11" s="7"/>
      <c r="M11" s="7"/>
      <c r="N11" s="7"/>
      <c r="O11" s="7"/>
      <c r="P11" s="7"/>
    </row>
    <row r="12" spans="1:18" ht="14.5" customHeight="1" x14ac:dyDescent="0.35">
      <c r="E12" s="9"/>
      <c r="F12" s="9"/>
      <c r="G12" s="9"/>
      <c r="H12" s="9"/>
      <c r="I12" s="9"/>
      <c r="J12" s="9"/>
      <c r="K12" s="7"/>
      <c r="L12" s="7"/>
      <c r="M12" s="7"/>
      <c r="N12" s="7"/>
      <c r="O12" s="7"/>
      <c r="P12" s="7"/>
    </row>
    <row r="13" spans="1:18" ht="14.5" customHeight="1" x14ac:dyDescent="0.35">
      <c r="E13" s="9"/>
      <c r="F13" s="9"/>
      <c r="G13" s="9"/>
      <c r="H13" s="9"/>
      <c r="I13" s="9"/>
      <c r="J13" s="9"/>
      <c r="K13" s="7"/>
      <c r="L13" s="7"/>
      <c r="M13" s="7"/>
      <c r="N13" s="7"/>
      <c r="O13" s="7"/>
      <c r="P13" s="7"/>
    </row>
    <row r="14" spans="1:18" ht="14.5" customHeight="1" x14ac:dyDescent="0.35">
      <c r="E14" s="9"/>
      <c r="F14" s="9"/>
      <c r="G14" s="9"/>
      <c r="H14" s="9"/>
      <c r="I14" s="9"/>
      <c r="J14" s="9"/>
      <c r="K14" s="7"/>
      <c r="L14" s="7"/>
      <c r="M14" s="7"/>
      <c r="N14" s="7"/>
      <c r="O14" s="7"/>
      <c r="P14" s="7"/>
    </row>
    <row r="15" spans="1:18" ht="14.5" customHeight="1" x14ac:dyDescent="0.35">
      <c r="E15" s="9"/>
      <c r="F15" s="9"/>
      <c r="G15" s="9"/>
      <c r="H15" s="9"/>
      <c r="I15" s="9"/>
      <c r="J15" s="9"/>
      <c r="K15" s="7"/>
      <c r="L15" s="7"/>
      <c r="M15" s="7"/>
      <c r="N15" s="7"/>
      <c r="O15" s="7"/>
      <c r="P15" s="7"/>
    </row>
    <row r="16" spans="1:18" ht="14.5" customHeight="1" x14ac:dyDescent="0.35">
      <c r="E16" s="9"/>
      <c r="F16" s="9"/>
      <c r="G16" s="9"/>
      <c r="H16" s="9"/>
      <c r="I16" s="9"/>
      <c r="J16" s="9"/>
      <c r="K16" s="7"/>
      <c r="L16" s="7"/>
      <c r="M16" s="7"/>
      <c r="N16" s="7"/>
      <c r="O16" s="7"/>
      <c r="P16" s="7"/>
    </row>
    <row r="17" spans="5:16" ht="14.5" customHeight="1" x14ac:dyDescent="0.35">
      <c r="E17" s="9"/>
      <c r="F17" s="9"/>
      <c r="G17" s="9"/>
      <c r="H17" s="9"/>
      <c r="I17" s="9"/>
      <c r="J17" s="9"/>
      <c r="K17" s="7"/>
      <c r="L17" s="7"/>
      <c r="M17" s="7"/>
      <c r="N17" s="7"/>
      <c r="O17" s="7"/>
      <c r="P17" s="7"/>
    </row>
    <row r="18" spans="5:16" ht="14.5" customHeight="1" x14ac:dyDescent="0.35">
      <c r="E18" s="9"/>
      <c r="F18" s="9"/>
      <c r="G18" s="9"/>
      <c r="H18" s="9"/>
      <c r="I18" s="9"/>
      <c r="J18" s="9"/>
      <c r="K18" s="7"/>
      <c r="L18" s="7"/>
      <c r="M18" s="7"/>
      <c r="N18" s="7"/>
      <c r="O18" s="7"/>
      <c r="P18" s="7"/>
    </row>
    <row r="19" spans="5:16" ht="14.5" customHeight="1" x14ac:dyDescent="0.35">
      <c r="E19" s="9"/>
      <c r="F19" s="9"/>
      <c r="G19" s="9"/>
      <c r="H19" s="9"/>
      <c r="I19" s="9"/>
      <c r="J19" s="9"/>
      <c r="K19" s="7"/>
      <c r="L19" s="7"/>
      <c r="M19" s="7"/>
      <c r="N19" s="7"/>
      <c r="O19" s="7"/>
      <c r="P19" s="7"/>
    </row>
    <row r="20" spans="5:16" ht="14.5" customHeight="1" x14ac:dyDescent="0.35">
      <c r="E20" s="9"/>
      <c r="F20" s="9"/>
      <c r="G20" s="9"/>
      <c r="H20" s="9"/>
      <c r="I20" s="9"/>
      <c r="J20" s="9"/>
      <c r="K20" s="7"/>
      <c r="L20" s="7"/>
      <c r="M20" s="7"/>
      <c r="N20" s="7"/>
      <c r="O20" s="7"/>
      <c r="P20" s="7"/>
    </row>
    <row r="21" spans="5:16" ht="14.5" customHeight="1" x14ac:dyDescent="0.35">
      <c r="E21" s="9"/>
      <c r="F21" s="9"/>
      <c r="G21" s="9"/>
      <c r="H21" s="9"/>
      <c r="I21" s="9"/>
      <c r="J21" s="9"/>
      <c r="K21" s="7"/>
      <c r="L21" s="7"/>
      <c r="M21" s="7"/>
      <c r="N21" s="7"/>
      <c r="O21" s="7"/>
      <c r="P21" s="7"/>
    </row>
    <row r="22" spans="5:16" ht="14.5" customHeight="1" x14ac:dyDescent="0.35">
      <c r="E22" s="9"/>
      <c r="F22" s="9"/>
      <c r="G22" s="9"/>
      <c r="H22" s="9"/>
      <c r="I22" s="9"/>
      <c r="J22" s="9"/>
      <c r="K22" s="7"/>
      <c r="L22" s="7"/>
      <c r="M22" s="7"/>
      <c r="N22" s="7"/>
      <c r="O22" s="7"/>
      <c r="P22" s="7"/>
    </row>
    <row r="23" spans="5:16" ht="14.5" customHeight="1" x14ac:dyDescent="0.35">
      <c r="E23" s="9"/>
      <c r="F23" s="9"/>
      <c r="G23" s="9"/>
      <c r="H23" s="9"/>
      <c r="I23" s="9"/>
      <c r="J23" s="9"/>
      <c r="K23" s="7"/>
      <c r="L23" s="7"/>
      <c r="M23" s="7"/>
      <c r="N23" s="7"/>
      <c r="O23" s="7"/>
      <c r="P23" s="7"/>
    </row>
  </sheetData>
  <autoFilter ref="A1:J1" xr:uid="{4A20A5EB-F07D-4482-9CDC-4B1469D1A512}"/>
  <mergeCells count="1">
    <mergeCell ref="L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Original Dataset</vt:lpstr>
      <vt:lpstr>Normalised</vt:lpstr>
      <vt:lpstr>CRUD-MAPPING</vt:lpstr>
      <vt:lpstr>HS4SemOfE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Sebastian Hofmann</dc:creator>
  <cp:lastModifiedBy>Lukas Sebastian Hofmann</cp:lastModifiedBy>
  <dcterms:created xsi:type="dcterms:W3CDTF">2025-11-11T11:50:23Z</dcterms:created>
  <dcterms:modified xsi:type="dcterms:W3CDTF">2026-05-18T15:38:33Z</dcterms:modified>
</cp:coreProperties>
</file>