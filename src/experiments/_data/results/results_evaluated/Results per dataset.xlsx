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Projects\_myProjects\dependencyanalyseandsynergyofuserstories\evalutator_scripts\"/>
    </mc:Choice>
  </mc:AlternateContent>
  <xr:revisionPtr revIDLastSave="0" documentId="13_ncr:1_{30291F7B-ABA1-48CD-8C09-8E3D78C6EB75}" xr6:coauthVersionLast="47" xr6:coauthVersionMax="47" xr10:uidLastSave="{00000000-0000-0000-0000-000000000000}"/>
  <bookViews>
    <workbookView xWindow="38290" yWindow="-110" windowWidth="38620" windowHeight="21100" activeTab="1" xr2:uid="{A1F81213-A9C1-4523-A769-7E0948920E18}"/>
  </bookViews>
  <sheets>
    <sheet name="CRUD" sheetId="2" r:id="rId1"/>
    <sheet name="Relations" sheetId="1" r:id="rId2"/>
  </sheets>
  <definedNames>
    <definedName name="_xlnm._FilterDatabase" localSheetId="0" hidden="1">CRUD!$A$1:$I$10</definedName>
    <definedName name="_xlnm._FilterDatabase" localSheetId="1" hidden="1">Relations!$A$1:$K$22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5" i="1" l="1"/>
  <c r="J14" i="1"/>
  <c r="J12" i="1"/>
  <c r="J11" i="1"/>
  <c r="J10" i="1"/>
  <c r="J9" i="1"/>
</calcChain>
</file>

<file path=xl/sharedStrings.xml><?xml version="1.0" encoding="utf-8"?>
<sst xmlns="http://schemas.openxmlformats.org/spreadsheetml/2006/main" count="279" uniqueCount="139">
  <si>
    <t>Datensatz</t>
  </si>
  <si>
    <t>Precision</t>
  </si>
  <si>
    <t>Recall</t>
  </si>
  <si>
    <t>F2</t>
  </si>
  <si>
    <t>g03</t>
  </si>
  <si>
    <t>NamedEntity</t>
  </si>
  <si>
    <t>Persona</t>
  </si>
  <si>
    <t>Action</t>
  </si>
  <si>
    <t>Entity</t>
  </si>
  <si>
    <t>g08</t>
  </si>
  <si>
    <t>g22</t>
  </si>
  <si>
    <t>Relation Typ</t>
  </si>
  <si>
    <t>Containment</t>
  </si>
  <si>
    <t>Generalization</t>
  </si>
  <si>
    <t>Sem. Eq.</t>
  </si>
  <si>
    <t>0.2228</t>
  </si>
  <si>
    <t>0.8653</t>
  </si>
  <si>
    <t>0.5488</t>
  </si>
  <si>
    <t>0.2306</t>
  </si>
  <si>
    <t>0.2726</t>
  </si>
  <si>
    <t>0.7647</t>
  </si>
  <si>
    <t>0.7314</t>
  </si>
  <si>
    <t>0.7378</t>
  </si>
  <si>
    <t>F1</t>
  </si>
  <si>
    <t>0.7477</t>
  </si>
  <si>
    <t>0.3748</t>
  </si>
  <si>
    <t>0.3544</t>
  </si>
  <si>
    <t>0.9000</t>
  </si>
  <si>
    <t>0.4091</t>
  </si>
  <si>
    <t>0.5625</t>
  </si>
  <si>
    <t>0.4592</t>
  </si>
  <si>
    <t>0.4411</t>
  </si>
  <si>
    <t>0.6629</t>
  </si>
  <si>
    <t>0.2823</t>
  </si>
  <si>
    <t>0.8704</t>
  </si>
  <si>
    <t>0.2487</t>
  </si>
  <si>
    <t>0.3868</t>
  </si>
  <si>
    <t>0.2901</t>
  </si>
  <si>
    <t>0.2408</t>
  </si>
  <si>
    <t>0.6705</t>
  </si>
  <si>
    <t>0.4941</t>
  </si>
  <si>
    <t>0.0734</t>
  </si>
  <si>
    <t>0.9759</t>
  </si>
  <si>
    <t>0.1366</t>
  </si>
  <si>
    <t>0.2822</t>
  </si>
  <si>
    <t>0.0944</t>
  </si>
  <si>
    <t>0.9833</t>
  </si>
  <si>
    <t>0.1723</t>
  </si>
  <si>
    <t>0.3410</t>
  </si>
  <si>
    <t>0.8205</t>
  </si>
  <si>
    <t>0.9014</t>
  </si>
  <si>
    <t>0.8511</t>
  </si>
  <si>
    <t>0.2848</t>
  </si>
  <si>
    <t>0.9778</t>
  </si>
  <si>
    <t>0.6577</t>
  </si>
  <si>
    <t>0.3394</t>
  </si>
  <si>
    <t>0.6395</t>
  </si>
  <si>
    <t>0.4434</t>
  </si>
  <si>
    <t>0.5434</t>
  </si>
  <si>
    <t>0.9487</t>
  </si>
  <si>
    <t>0.7400</t>
  </si>
  <si>
    <t>0.8315</t>
  </si>
  <si>
    <t>0.7741</t>
  </si>
  <si>
    <t>0.3561</t>
  </si>
  <si>
    <t>0.9481</t>
  </si>
  <si>
    <t>0.5177</t>
  </si>
  <si>
    <t>0.7115</t>
  </si>
  <si>
    <t>0.9028</t>
  </si>
  <si>
    <t>0.4710</t>
  </si>
  <si>
    <t>0.6190</t>
  </si>
  <si>
    <t>0.5208</t>
  </si>
  <si>
    <t>0.9589</t>
  </si>
  <si>
    <t>0.2671</t>
  </si>
  <si>
    <t>0.6985</t>
  </si>
  <si>
    <t>0.3865</t>
  </si>
  <si>
    <t>0.5280</t>
  </si>
  <si>
    <t>0.9194</t>
  </si>
  <si>
    <t>0.7308</t>
  </si>
  <si>
    <t>0.8143</t>
  </si>
  <si>
    <t>0.7620</t>
  </si>
  <si>
    <t>Place im Relation Type</t>
  </si>
  <si>
    <t>Over weighted avg (F2)?</t>
  </si>
  <si>
    <t>n</t>
  </si>
  <si>
    <t>y</t>
  </si>
  <si>
    <t>y (but just minimal .5178)</t>
  </si>
  <si>
    <t>Best of Dataset</t>
  </si>
  <si>
    <t>Worst of Dataset</t>
  </si>
  <si>
    <t>Dataset</t>
  </si>
  <si>
    <t>C -- F1</t>
  </si>
  <si>
    <t>R -- F1</t>
  </si>
  <si>
    <t>U -- F1</t>
  </si>
  <si>
    <t>D -- F1</t>
  </si>
  <si>
    <t>Approach</t>
  </si>
  <si>
    <t>LLM</t>
  </si>
  <si>
    <t>Google</t>
  </si>
  <si>
    <t>Fasttext</t>
  </si>
  <si>
    <t>0.57</t>
  </si>
  <si>
    <t>0.43</t>
  </si>
  <si>
    <t>0.47</t>
  </si>
  <si>
    <t>0.54</t>
  </si>
  <si>
    <t>0.44</t>
  </si>
  <si>
    <t>0.48</t>
  </si>
  <si>
    <t>0.9</t>
  </si>
  <si>
    <t>0.89</t>
  </si>
  <si>
    <t>0.63</t>
  </si>
  <si>
    <t>0.64</t>
  </si>
  <si>
    <t>0.38</t>
  </si>
  <si>
    <t>1.0</t>
  </si>
  <si>
    <t>0.5</t>
  </si>
  <si>
    <t>0.4</t>
  </si>
  <si>
    <t>/</t>
  </si>
  <si>
    <t>0.52</t>
  </si>
  <si>
    <t>1.</t>
  </si>
  <si>
    <t>0.70</t>
  </si>
  <si>
    <t>0.69</t>
  </si>
  <si>
    <t>1.00</t>
  </si>
  <si>
    <t>0.60</t>
  </si>
  <si>
    <t>0.51</t>
  </si>
  <si>
    <t>0.58</t>
  </si>
  <si>
    <t>0.36</t>
  </si>
  <si>
    <t>0.61</t>
  </si>
  <si>
    <t>0.95</t>
  </si>
  <si>
    <t>0.33</t>
  </si>
  <si>
    <t>Ranking Per  Dataset and Approach - C</t>
  </si>
  <si>
    <t>Ranking Per  Dataset and Approach - R</t>
  </si>
  <si>
    <t>Ranking Per  Dataset and Approach - U</t>
  </si>
  <si>
    <t>über g08 "create" und "read" immer am schlechtesten</t>
  </si>
  <si>
    <t>über g22 "create" und "read" immer in der Mitte</t>
  </si>
  <si>
    <t>über g03 "create" und "read" immer am besten</t>
  </si>
  <si>
    <t>g08 bleibt über alle Methodiken hinweg stabil</t>
  </si>
  <si>
    <t>g22 ist zwei mal bei den word embeddings am besten</t>
  </si>
  <si>
    <t>g03 bleibt bei zwei einmal llm + word embeddings am besten</t>
  </si>
  <si>
    <t>0.5546</t>
  </si>
  <si>
    <t>0.7017</t>
  </si>
  <si>
    <t>0.8344</t>
  </si>
  <si>
    <t>0.5087</t>
  </si>
  <si>
    <t>0.9462</t>
  </si>
  <si>
    <t>0.6617</t>
  </si>
  <si>
    <t>0.8073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</si>
</sst>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i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1EAC6-62EF-4D62-897A-15792B6D8F2F}">
  <dimension ref="A1:K10"/>
  <sheetViews>
    <sheetView workbookViewId="0">
      <selection activeCell="M17" sqref="M17"/>
    </sheetView>
  </sheetViews>
  <sheetFormatPr defaultRowHeight="14.5" x14ac:dyDescent="0.35"/>
  <cols>
    <col min="1" max="1" width="14.26953125" bestFit="1" customWidth="1"/>
    <col min="2" max="2" width="12.453125" bestFit="1" customWidth="1"/>
    <col min="3" max="3" width="10.7265625" bestFit="1" customWidth="1"/>
    <col min="4" max="4" width="10.81640625" bestFit="1" customWidth="1"/>
    <col min="5" max="6" width="10.90625" bestFit="1" customWidth="1"/>
    <col min="7" max="8" width="23.36328125" customWidth="1"/>
    <col min="9" max="9" width="23.08984375" customWidth="1"/>
    <col min="10" max="10" width="8.81640625" customWidth="1"/>
  </cols>
  <sheetData>
    <row r="1" spans="1:11" ht="35.5" customHeight="1" x14ac:dyDescent="0.35">
      <c r="A1" s="7" t="s">
        <v>92</v>
      </c>
      <c r="B1" s="7" t="s">
        <v>87</v>
      </c>
      <c r="C1" s="7" t="s">
        <v>88</v>
      </c>
      <c r="D1" s="7" t="s">
        <v>89</v>
      </c>
      <c r="E1" s="7" t="s">
        <v>90</v>
      </c>
      <c r="F1" s="7" t="s">
        <v>91</v>
      </c>
      <c r="G1" s="7" t="s">
        <v>123</v>
      </c>
      <c r="H1" s="7" t="s">
        <v>124</v>
      </c>
      <c r="I1" s="7" t="s">
        <v>125</v>
      </c>
      <c r="J1" s="7"/>
    </row>
    <row r="2" spans="1:11" x14ac:dyDescent="0.35">
      <c r="A2" t="s">
        <v>93</v>
      </c>
      <c r="B2" t="s">
        <v>4</v>
      </c>
      <c r="C2" s="6" t="s">
        <v>113</v>
      </c>
      <c r="D2" s="6" t="s">
        <v>114</v>
      </c>
      <c r="E2" s="6" t="s">
        <v>116</v>
      </c>
      <c r="F2" s="6" t="s">
        <v>115</v>
      </c>
      <c r="G2" s="1">
        <v>1</v>
      </c>
      <c r="H2" s="1">
        <v>2</v>
      </c>
      <c r="I2" s="1">
        <v>1</v>
      </c>
      <c r="K2" t="s">
        <v>128</v>
      </c>
    </row>
    <row r="3" spans="1:11" x14ac:dyDescent="0.35">
      <c r="A3" t="s">
        <v>93</v>
      </c>
      <c r="B3" t="s">
        <v>9</v>
      </c>
      <c r="C3" s="6" t="s">
        <v>117</v>
      </c>
      <c r="D3" s="6" t="s">
        <v>118</v>
      </c>
      <c r="E3" s="6" t="s">
        <v>119</v>
      </c>
      <c r="F3" s="6" t="s">
        <v>110</v>
      </c>
      <c r="G3" s="1">
        <v>3</v>
      </c>
      <c r="H3" s="1">
        <v>3</v>
      </c>
      <c r="I3" s="1">
        <v>2</v>
      </c>
      <c r="K3" t="s">
        <v>126</v>
      </c>
    </row>
    <row r="4" spans="1:11" x14ac:dyDescent="0.35">
      <c r="A4" t="s">
        <v>93</v>
      </c>
      <c r="B4" t="s">
        <v>10</v>
      </c>
      <c r="C4" s="6" t="s">
        <v>120</v>
      </c>
      <c r="D4" s="6" t="s">
        <v>121</v>
      </c>
      <c r="E4" s="6" t="s">
        <v>122</v>
      </c>
      <c r="F4" s="6">
        <v>0</v>
      </c>
      <c r="G4" s="1">
        <v>2</v>
      </c>
      <c r="H4" s="1">
        <v>1</v>
      </c>
      <c r="I4" s="1">
        <v>3</v>
      </c>
      <c r="K4" t="s">
        <v>127</v>
      </c>
    </row>
    <row r="5" spans="1:11" x14ac:dyDescent="0.35">
      <c r="A5" t="s">
        <v>94</v>
      </c>
      <c r="B5" t="s">
        <v>4</v>
      </c>
      <c r="C5" s="6" t="s">
        <v>104</v>
      </c>
      <c r="D5" s="6" t="s">
        <v>105</v>
      </c>
      <c r="E5" s="6" t="s">
        <v>106</v>
      </c>
      <c r="F5" s="6" t="s">
        <v>107</v>
      </c>
      <c r="G5" s="1">
        <v>1</v>
      </c>
      <c r="H5" s="1">
        <v>2</v>
      </c>
      <c r="I5" s="1">
        <v>3</v>
      </c>
    </row>
    <row r="6" spans="1:11" x14ac:dyDescent="0.35">
      <c r="A6" t="s">
        <v>94</v>
      </c>
      <c r="B6" t="s">
        <v>9</v>
      </c>
      <c r="C6" s="6" t="s">
        <v>108</v>
      </c>
      <c r="D6" s="6" t="s">
        <v>99</v>
      </c>
      <c r="E6" s="6" t="s">
        <v>109</v>
      </c>
      <c r="F6" s="6" t="s">
        <v>110</v>
      </c>
      <c r="G6" s="1">
        <v>3</v>
      </c>
      <c r="H6" s="1">
        <v>3</v>
      </c>
      <c r="I6" s="1">
        <v>2</v>
      </c>
      <c r="K6" t="s">
        <v>129</v>
      </c>
    </row>
    <row r="7" spans="1:11" x14ac:dyDescent="0.35">
      <c r="A7" t="s">
        <v>94</v>
      </c>
      <c r="B7" t="s">
        <v>10</v>
      </c>
      <c r="C7" s="6" t="s">
        <v>111</v>
      </c>
      <c r="D7" s="6" t="s">
        <v>102</v>
      </c>
      <c r="E7" s="6" t="s">
        <v>112</v>
      </c>
      <c r="F7" s="6" t="s">
        <v>110</v>
      </c>
      <c r="G7" s="1">
        <v>2</v>
      </c>
      <c r="H7" s="1">
        <v>1</v>
      </c>
      <c r="I7" s="1">
        <v>1</v>
      </c>
      <c r="K7" t="s">
        <v>130</v>
      </c>
    </row>
    <row r="8" spans="1:11" x14ac:dyDescent="0.35">
      <c r="A8" t="s">
        <v>95</v>
      </c>
      <c r="B8" t="s">
        <v>4</v>
      </c>
      <c r="C8" s="6" t="s">
        <v>96</v>
      </c>
      <c r="D8" s="6" t="s">
        <v>96</v>
      </c>
      <c r="E8" s="6" t="s">
        <v>97</v>
      </c>
      <c r="F8" s="6">
        <v>1</v>
      </c>
      <c r="G8" s="1">
        <v>1</v>
      </c>
      <c r="H8" s="1">
        <v>2</v>
      </c>
      <c r="I8" s="1">
        <v>3</v>
      </c>
      <c r="K8" t="s">
        <v>131</v>
      </c>
    </row>
    <row r="9" spans="1:11" x14ac:dyDescent="0.35">
      <c r="A9" t="s">
        <v>95</v>
      </c>
      <c r="B9" t="s">
        <v>9</v>
      </c>
      <c r="C9" s="6" t="s">
        <v>98</v>
      </c>
      <c r="D9" s="6" t="s">
        <v>99</v>
      </c>
      <c r="E9" s="6" t="s">
        <v>100</v>
      </c>
      <c r="F9" s="6" t="s">
        <v>110</v>
      </c>
      <c r="G9" s="1">
        <v>3</v>
      </c>
      <c r="H9" s="1">
        <v>3</v>
      </c>
      <c r="I9" s="1">
        <v>2</v>
      </c>
    </row>
    <row r="10" spans="1:11" x14ac:dyDescent="0.35">
      <c r="A10" t="s">
        <v>95</v>
      </c>
      <c r="B10" t="s">
        <v>10</v>
      </c>
      <c r="C10" s="6" t="s">
        <v>101</v>
      </c>
      <c r="D10" s="6" t="s">
        <v>102</v>
      </c>
      <c r="E10" s="6" t="s">
        <v>103</v>
      </c>
      <c r="F10" s="6" t="s">
        <v>110</v>
      </c>
      <c r="G10" s="1">
        <v>2</v>
      </c>
      <c r="H10" s="1">
        <v>1</v>
      </c>
      <c r="I10" s="1">
        <v>1</v>
      </c>
    </row>
  </sheetData>
  <autoFilter ref="A1:I10" xr:uid="{CFB1EAC6-62EF-4D62-897A-15792B6D8F2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949DF-48D7-4259-BCEF-322F8B164BB3}">
  <sheetPr filterMode="1"/>
  <dimension ref="A1:P22"/>
  <sheetViews>
    <sheetView tabSelected="1" zoomScale="160" zoomScaleNormal="160" workbookViewId="0">
      <selection activeCell="G23" sqref="G23"/>
    </sheetView>
  </sheetViews>
  <sheetFormatPr defaultRowHeight="14.5" x14ac:dyDescent="0.35"/>
  <cols>
    <col min="1" max="1" width="12.6328125" bestFit="1" customWidth="1"/>
    <col min="2" max="2" width="14.81640625" bestFit="1" customWidth="1"/>
    <col min="3" max="3" width="15.54296875" bestFit="1" customWidth="1"/>
    <col min="4" max="4" width="11.81640625" bestFit="1" customWidth="1"/>
    <col min="5" max="5" width="8.7265625" bestFit="1" customWidth="1"/>
    <col min="8" max="8" width="25.6328125" bestFit="1" customWidth="1"/>
    <col min="9" max="9" width="27" bestFit="1" customWidth="1"/>
    <col min="10" max="10" width="18" bestFit="1" customWidth="1"/>
    <col min="11" max="11" width="19.453125" bestFit="1" customWidth="1"/>
    <col min="15" max="15" width="15" customWidth="1"/>
  </cols>
  <sheetData>
    <row r="1" spans="1:16" ht="18.5" x14ac:dyDescent="0.45">
      <c r="A1" s="2" t="s">
        <v>0</v>
      </c>
      <c r="B1" s="2" t="s">
        <v>11</v>
      </c>
      <c r="C1" s="2" t="s">
        <v>5</v>
      </c>
      <c r="D1" s="2" t="s">
        <v>1</v>
      </c>
      <c r="E1" s="2" t="s">
        <v>2</v>
      </c>
      <c r="F1" s="2" t="s">
        <v>23</v>
      </c>
      <c r="G1" s="2" t="s">
        <v>3</v>
      </c>
      <c r="H1" s="2" t="s">
        <v>80</v>
      </c>
      <c r="I1" s="2" t="s">
        <v>81</v>
      </c>
      <c r="J1" s="2" t="s">
        <v>85</v>
      </c>
      <c r="K1" s="2" t="s">
        <v>86</v>
      </c>
      <c r="N1" s="2"/>
      <c r="O1" s="2"/>
      <c r="P1" s="2"/>
    </row>
    <row r="2" spans="1:16" hidden="1" x14ac:dyDescent="0.35">
      <c r="A2" t="s">
        <v>4</v>
      </c>
      <c r="B2" t="s">
        <v>12</v>
      </c>
      <c r="C2" t="s">
        <v>8</v>
      </c>
      <c r="D2" s="4" t="s">
        <v>15</v>
      </c>
      <c r="E2" s="4" t="s">
        <v>16</v>
      </c>
      <c r="F2" s="4" t="s">
        <v>26</v>
      </c>
      <c r="G2" s="4" t="s">
        <v>17</v>
      </c>
      <c r="H2" s="1">
        <v>2</v>
      </c>
      <c r="I2" s="1" t="s">
        <v>82</v>
      </c>
      <c r="J2" s="1" t="s">
        <v>82</v>
      </c>
      <c r="K2" s="1" t="s">
        <v>82</v>
      </c>
      <c r="O2" s="5"/>
    </row>
    <row r="3" spans="1:16" hidden="1" x14ac:dyDescent="0.35">
      <c r="A3" t="s">
        <v>4</v>
      </c>
      <c r="B3" t="s">
        <v>13</v>
      </c>
      <c r="C3" t="s">
        <v>6</v>
      </c>
      <c r="D3" s="4" t="s">
        <v>27</v>
      </c>
      <c r="E3" s="4" t="s">
        <v>28</v>
      </c>
      <c r="F3" s="4" t="s">
        <v>29</v>
      </c>
      <c r="G3" s="4" t="s">
        <v>30</v>
      </c>
      <c r="H3" s="1">
        <v>2</v>
      </c>
      <c r="I3" s="1" t="s">
        <v>83</v>
      </c>
      <c r="J3" s="1" t="s">
        <v>82</v>
      </c>
      <c r="K3" s="1" t="s">
        <v>82</v>
      </c>
      <c r="N3" s="3"/>
    </row>
    <row r="4" spans="1:16" hidden="1" x14ac:dyDescent="0.35">
      <c r="A4" t="s">
        <v>4</v>
      </c>
      <c r="B4" t="s">
        <v>13</v>
      </c>
      <c r="C4" t="s">
        <v>7</v>
      </c>
      <c r="D4" s="4" t="s">
        <v>38</v>
      </c>
      <c r="E4" s="4" t="s">
        <v>39</v>
      </c>
      <c r="F4" s="4" t="s">
        <v>26</v>
      </c>
      <c r="G4" s="4" t="s">
        <v>40</v>
      </c>
      <c r="H4" s="1">
        <v>3</v>
      </c>
      <c r="I4" s="1" t="s">
        <v>82</v>
      </c>
      <c r="J4" s="1" t="s">
        <v>82</v>
      </c>
      <c r="K4" s="1" t="s">
        <v>82</v>
      </c>
      <c r="N4" s="3"/>
    </row>
    <row r="5" spans="1:16" hidden="1" x14ac:dyDescent="0.35">
      <c r="A5" t="s">
        <v>4</v>
      </c>
      <c r="B5" t="s">
        <v>13</v>
      </c>
      <c r="C5" t="s">
        <v>8</v>
      </c>
      <c r="D5" s="4" t="s">
        <v>41</v>
      </c>
      <c r="E5" s="4" t="s">
        <v>42</v>
      </c>
      <c r="F5" s="4" t="s">
        <v>43</v>
      </c>
      <c r="G5" s="4" t="s">
        <v>44</v>
      </c>
      <c r="H5" s="1">
        <v>3</v>
      </c>
      <c r="I5" s="1" t="s">
        <v>82</v>
      </c>
      <c r="J5" s="1" t="s">
        <v>82</v>
      </c>
      <c r="K5" s="1" t="s">
        <v>83</v>
      </c>
    </row>
    <row r="6" spans="1:16" hidden="1" x14ac:dyDescent="0.35">
      <c r="A6" t="s">
        <v>4</v>
      </c>
      <c r="B6" t="s">
        <v>14</v>
      </c>
      <c r="C6" t="s">
        <v>6</v>
      </c>
      <c r="D6" s="4" t="s">
        <v>45</v>
      </c>
      <c r="E6" s="4" t="s">
        <v>46</v>
      </c>
      <c r="F6" s="4" t="s">
        <v>47</v>
      </c>
      <c r="G6" s="4" t="s">
        <v>48</v>
      </c>
      <c r="H6" s="1">
        <v>3</v>
      </c>
      <c r="I6" s="1" t="s">
        <v>82</v>
      </c>
      <c r="J6" s="1" t="s">
        <v>82</v>
      </c>
      <c r="K6" s="1" t="s">
        <v>82</v>
      </c>
    </row>
    <row r="7" spans="1:16" hidden="1" x14ac:dyDescent="0.35">
      <c r="A7" t="s">
        <v>4</v>
      </c>
      <c r="B7" t="s">
        <v>14</v>
      </c>
      <c r="C7" t="s">
        <v>7</v>
      </c>
      <c r="D7" s="4">
        <v>1</v>
      </c>
      <c r="E7" s="4" t="s">
        <v>49</v>
      </c>
      <c r="F7" s="4" t="s">
        <v>50</v>
      </c>
      <c r="G7" s="4" t="s">
        <v>51</v>
      </c>
      <c r="H7" s="1">
        <v>1</v>
      </c>
      <c r="I7" s="1" t="s">
        <v>83</v>
      </c>
      <c r="J7" s="1" t="s">
        <v>83</v>
      </c>
      <c r="K7" s="1" t="s">
        <v>82</v>
      </c>
    </row>
    <row r="8" spans="1:16" hidden="1" x14ac:dyDescent="0.35">
      <c r="A8" t="s">
        <v>4</v>
      </c>
      <c r="B8" t="s">
        <v>14</v>
      </c>
      <c r="C8" t="s">
        <v>8</v>
      </c>
      <c r="D8" s="4" t="s">
        <v>45</v>
      </c>
      <c r="E8" s="4" t="s">
        <v>46</v>
      </c>
      <c r="F8" s="4" t="s">
        <v>47</v>
      </c>
      <c r="G8" s="4" t="s">
        <v>48</v>
      </c>
      <c r="H8" s="1">
        <v>3</v>
      </c>
      <c r="I8" s="1" t="s">
        <v>82</v>
      </c>
      <c r="J8" s="1" t="s">
        <v>82</v>
      </c>
      <c r="K8" s="1" t="s">
        <v>82</v>
      </c>
    </row>
    <row r="9" spans="1:16" hidden="1" x14ac:dyDescent="0.35">
      <c r="A9" t="s">
        <v>9</v>
      </c>
      <c r="B9" t="s">
        <v>12</v>
      </c>
      <c r="C9" t="s">
        <v>8</v>
      </c>
      <c r="D9" s="4">
        <v>1</v>
      </c>
      <c r="E9" s="4" t="s">
        <v>18</v>
      </c>
      <c r="F9" s="4" t="s">
        <v>25</v>
      </c>
      <c r="G9" s="4" t="s">
        <v>19</v>
      </c>
      <c r="H9" s="1">
        <v>3</v>
      </c>
      <c r="I9" s="1" t="s">
        <v>82</v>
      </c>
      <c r="J9" s="1" t="str">
        <f>IF(F2=_xlfn.MINIFS($F9:$F15,$A9:$A15,$A2),"y","n")</f>
        <v>n</v>
      </c>
      <c r="K9" s="1" t="s">
        <v>82</v>
      </c>
    </row>
    <row r="10" spans="1:16" hidden="1" x14ac:dyDescent="0.35">
      <c r="A10" t="s">
        <v>9</v>
      </c>
      <c r="B10" t="s">
        <v>13</v>
      </c>
      <c r="C10" t="s">
        <v>6</v>
      </c>
      <c r="D10" s="4" t="s">
        <v>33</v>
      </c>
      <c r="E10" s="4">
        <v>1</v>
      </c>
      <c r="F10" s="4" t="s">
        <v>31</v>
      </c>
      <c r="G10" s="4" t="s">
        <v>32</v>
      </c>
      <c r="H10" s="1">
        <v>1</v>
      </c>
      <c r="I10" s="1" t="s">
        <v>83</v>
      </c>
      <c r="J10" s="1" t="str">
        <f>IF(F2=_xlfn.MINIFS($F9:$F15,$A9:$A15,$A2),"y","n")</f>
        <v>n</v>
      </c>
      <c r="K10" s="1" t="s">
        <v>83</v>
      </c>
    </row>
    <row r="11" spans="1:16" hidden="1" x14ac:dyDescent="0.35">
      <c r="A11" t="s">
        <v>9</v>
      </c>
      <c r="B11" t="s">
        <v>13</v>
      </c>
      <c r="C11" t="s">
        <v>7</v>
      </c>
      <c r="D11" s="4" t="s">
        <v>52</v>
      </c>
      <c r="E11" s="4" t="s">
        <v>53</v>
      </c>
      <c r="F11" s="4" t="s">
        <v>31</v>
      </c>
      <c r="G11" s="4" t="s">
        <v>54</v>
      </c>
      <c r="H11" s="1">
        <v>1</v>
      </c>
      <c r="I11" s="1" t="s">
        <v>83</v>
      </c>
      <c r="J11" s="1" t="str">
        <f>IF(F2=_xlfn.MINIFS($F9:$F15,$A9:$A15,$A2),"y","n")</f>
        <v>n</v>
      </c>
      <c r="K11" s="1" t="s">
        <v>83</v>
      </c>
    </row>
    <row r="12" spans="1:16" hidden="1" x14ac:dyDescent="0.35">
      <c r="A12" t="s">
        <v>9</v>
      </c>
      <c r="B12" t="s">
        <v>13</v>
      </c>
      <c r="C12" t="s">
        <v>8</v>
      </c>
      <c r="D12" s="4" t="s">
        <v>55</v>
      </c>
      <c r="E12" s="4" t="s">
        <v>56</v>
      </c>
      <c r="F12" s="4" t="s">
        <v>57</v>
      </c>
      <c r="G12" s="4" t="s">
        <v>58</v>
      </c>
      <c r="H12" s="1">
        <v>1</v>
      </c>
      <c r="I12" s="1" t="s">
        <v>83</v>
      </c>
      <c r="J12" s="1" t="str">
        <f>IF(F2=_xlfn.MINIFS($F9:$F15,$A9:$A15,$A2),"y","n")</f>
        <v>n</v>
      </c>
      <c r="K12" s="1" t="s">
        <v>83</v>
      </c>
    </row>
    <row r="13" spans="1:16" hidden="1" x14ac:dyDescent="0.35">
      <c r="A13" t="s">
        <v>9</v>
      </c>
      <c r="B13" t="s">
        <v>14</v>
      </c>
      <c r="C13" t="s">
        <v>6</v>
      </c>
      <c r="D13" s="4" t="s">
        <v>59</v>
      </c>
      <c r="E13" s="4" t="s">
        <v>60</v>
      </c>
      <c r="F13" s="4" t="s">
        <v>61</v>
      </c>
      <c r="G13" s="4" t="s">
        <v>62</v>
      </c>
      <c r="H13" s="1">
        <v>1</v>
      </c>
      <c r="I13" s="1" t="s">
        <v>83</v>
      </c>
      <c r="J13" s="1" t="s">
        <v>83</v>
      </c>
      <c r="K13" s="1" t="s">
        <v>83</v>
      </c>
    </row>
    <row r="14" spans="1:16" hidden="1" x14ac:dyDescent="0.35">
      <c r="A14" t="s">
        <v>9</v>
      </c>
      <c r="B14" t="s">
        <v>14</v>
      </c>
      <c r="C14" t="s">
        <v>7</v>
      </c>
      <c r="D14" s="4" t="s">
        <v>63</v>
      </c>
      <c r="E14" s="4" t="s">
        <v>64</v>
      </c>
      <c r="F14" s="4" t="s">
        <v>65</v>
      </c>
      <c r="G14" s="4" t="s">
        <v>66</v>
      </c>
      <c r="H14" s="1">
        <v>2</v>
      </c>
      <c r="I14" s="1" t="s">
        <v>82</v>
      </c>
      <c r="J14" s="1" t="str">
        <f>IF(F2=_xlfn.MINIFS($F9:$F15,$A9:$A15,$A2),"y","n")</f>
        <v>n</v>
      </c>
      <c r="K14" s="1" t="s">
        <v>83</v>
      </c>
    </row>
    <row r="15" spans="1:16" hidden="1" x14ac:dyDescent="0.35">
      <c r="A15" t="s">
        <v>9</v>
      </c>
      <c r="B15" t="s">
        <v>14</v>
      </c>
      <c r="C15" t="s">
        <v>8</v>
      </c>
      <c r="D15" s="4" t="s">
        <v>63</v>
      </c>
      <c r="E15" s="4" t="s">
        <v>64</v>
      </c>
      <c r="F15" s="4" t="s">
        <v>65</v>
      </c>
      <c r="G15" s="4" t="s">
        <v>66</v>
      </c>
      <c r="H15" s="1">
        <v>2</v>
      </c>
      <c r="I15" s="1" t="s">
        <v>83</v>
      </c>
      <c r="J15" s="1" t="str">
        <f>IF(F2=_xlfn.MINIFS($F9:$F15,$A9:$A15,$A2),"y","n")</f>
        <v>n</v>
      </c>
      <c r="K15" s="1" t="s">
        <v>83</v>
      </c>
    </row>
    <row r="16" spans="1:16" x14ac:dyDescent="0.35">
      <c r="A16" t="s">
        <v>10</v>
      </c>
      <c r="B16" t="s">
        <v>12</v>
      </c>
      <c r="C16" t="s">
        <v>8</v>
      </c>
      <c r="D16" s="4" t="s">
        <v>20</v>
      </c>
      <c r="E16" s="4" t="s">
        <v>21</v>
      </c>
      <c r="F16" s="4" t="s">
        <v>24</v>
      </c>
      <c r="G16" s="4" t="s">
        <v>22</v>
      </c>
      <c r="H16" s="1">
        <v>1</v>
      </c>
      <c r="I16" s="1" t="s">
        <v>83</v>
      </c>
      <c r="J16" s="1" t="s">
        <v>82</v>
      </c>
      <c r="K16" s="1" t="s">
        <v>82</v>
      </c>
    </row>
    <row r="17" spans="1:11" x14ac:dyDescent="0.35">
      <c r="A17" t="s">
        <v>10</v>
      </c>
      <c r="B17" t="s">
        <v>13</v>
      </c>
      <c r="C17" t="s">
        <v>6</v>
      </c>
      <c r="D17" s="4" t="s">
        <v>34</v>
      </c>
      <c r="E17" s="4" t="s">
        <v>35</v>
      </c>
      <c r="F17" s="4" t="s">
        <v>36</v>
      </c>
      <c r="G17" s="4" t="s">
        <v>37</v>
      </c>
      <c r="H17" s="1">
        <v>3</v>
      </c>
      <c r="I17" s="1" t="s">
        <v>82</v>
      </c>
      <c r="J17" s="1" t="s">
        <v>82</v>
      </c>
      <c r="K17" s="1" t="s">
        <v>83</v>
      </c>
    </row>
    <row r="18" spans="1:11" x14ac:dyDescent="0.35">
      <c r="A18" t="s">
        <v>10</v>
      </c>
      <c r="B18" t="s">
        <v>13</v>
      </c>
      <c r="C18" t="s">
        <v>7</v>
      </c>
      <c r="D18" s="4" t="s">
        <v>67</v>
      </c>
      <c r="E18" s="4" t="s">
        <v>68</v>
      </c>
      <c r="F18" s="4" t="s">
        <v>69</v>
      </c>
      <c r="G18" s="4" t="s">
        <v>70</v>
      </c>
      <c r="H18" s="1">
        <v>2</v>
      </c>
      <c r="I18" s="1" t="s">
        <v>84</v>
      </c>
      <c r="J18" s="1" t="s">
        <v>82</v>
      </c>
      <c r="K18" s="1" t="s">
        <v>82</v>
      </c>
    </row>
    <row r="19" spans="1:11" x14ac:dyDescent="0.35">
      <c r="A19" t="s">
        <v>10</v>
      </c>
      <c r="B19" t="s">
        <v>13</v>
      </c>
      <c r="C19" t="s">
        <v>8</v>
      </c>
      <c r="D19" s="4" t="s">
        <v>72</v>
      </c>
      <c r="E19" s="4" t="s">
        <v>73</v>
      </c>
      <c r="F19" s="4" t="s">
        <v>74</v>
      </c>
      <c r="G19" s="4" t="s">
        <v>75</v>
      </c>
      <c r="H19" s="1">
        <v>2</v>
      </c>
      <c r="I19" s="1" t="s">
        <v>83</v>
      </c>
      <c r="J19" s="1" t="s">
        <v>82</v>
      </c>
      <c r="K19" s="1" t="s">
        <v>82</v>
      </c>
    </row>
    <row r="20" spans="1:11" x14ac:dyDescent="0.35">
      <c r="A20" t="s">
        <v>10</v>
      </c>
      <c r="B20" t="s">
        <v>14</v>
      </c>
      <c r="C20" t="s">
        <v>6</v>
      </c>
      <c r="D20" s="4" t="s">
        <v>76</v>
      </c>
      <c r="E20" s="4" t="s">
        <v>77</v>
      </c>
      <c r="F20" s="4" t="s">
        <v>78</v>
      </c>
      <c r="G20" s="4" t="s">
        <v>79</v>
      </c>
      <c r="H20" s="1">
        <v>2</v>
      </c>
      <c r="I20" s="1" t="s">
        <v>83</v>
      </c>
      <c r="J20" s="1" t="s">
        <v>82</v>
      </c>
      <c r="K20" s="1" t="s">
        <v>82</v>
      </c>
    </row>
    <row r="21" spans="1:11" x14ac:dyDescent="0.35">
      <c r="A21" t="s">
        <v>10</v>
      </c>
      <c r="B21" t="s">
        <v>14</v>
      </c>
      <c r="C21" t="s">
        <v>7</v>
      </c>
      <c r="D21" s="4" t="s">
        <v>132</v>
      </c>
      <c r="E21" s="4" t="s">
        <v>71</v>
      </c>
      <c r="F21" s="4" t="s">
        <v>133</v>
      </c>
      <c r="G21" s="4" t="s">
        <v>134</v>
      </c>
      <c r="H21" s="1">
        <v>3</v>
      </c>
      <c r="I21" s="1" t="s">
        <v>82</v>
      </c>
      <c r="J21" s="1" t="s">
        <v>82</v>
      </c>
      <c r="K21" s="1" t="s">
        <v>82</v>
      </c>
    </row>
    <row r="22" spans="1:11" x14ac:dyDescent="0.35">
      <c r="A22" t="s">
        <v>10</v>
      </c>
      <c r="B22" t="s">
        <v>14</v>
      </c>
      <c r="C22" t="s">
        <v>8</v>
      </c>
      <c r="D22" s="4" t="s">
        <v>135</v>
      </c>
      <c r="E22" s="4" t="s">
        <v>136</v>
      </c>
      <c r="F22" s="4" t="s">
        <v>137</v>
      </c>
      <c r="G22" s="4" t="s">
        <v>138</v>
      </c>
      <c r="H22" s="1">
        <v>1</v>
      </c>
      <c r="I22" s="1" t="s">
        <v>83</v>
      </c>
      <c r="J22" s="1" t="s">
        <v>83</v>
      </c>
      <c r="K22" s="1" t="s">
        <v>82</v>
      </c>
    </row>
  </sheetData>
  <autoFilter ref="A1:K22" xr:uid="{584949DF-48D7-4259-BCEF-322F8B164BB3}">
    <filterColumn colId="0">
      <filters>
        <filter val="g22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CRUD</vt:lpstr>
      <vt:lpstr>Relations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Sebastian Hofmann</dc:creator>
  <cp:lastModifiedBy>Lukas Sebastian Hofmann</cp:lastModifiedBy>
  <dcterms:created xsi:type="dcterms:W3CDTF">2026-02-11T17:06:29Z</dcterms:created>
  <dcterms:modified xsi:type="dcterms:W3CDTF">2026-02-12T17:05:59Z</dcterms:modified>
</cp:coreProperties>
</file>